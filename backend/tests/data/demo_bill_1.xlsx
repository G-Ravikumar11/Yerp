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MB-1" sheetId="4" r:id="rId1"/>
  </sheets>
  <definedNames>
    <definedName name="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_??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2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8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2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6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gk2" hidden="1">#REF!</definedName>
    <definedName name="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bs123" hidden="1">{#N/A,#N/A,FALSE,"M&amp;B_43A_fab";#N/A,#N/A,FALSE,"M&amp;B_43A_ERE.";#N/A,#N/A,FALSE,"M&amp;B-43A-ALIGN"}</definedName>
    <definedName name="_______ABS2" hidden="1">{#N/A,#N/A,FALSE,"M&amp;B_43A_fab";#N/A,#N/A,FALSE,"M&amp;B_43A_ERE.";#N/A,#N/A,FALSE,"M&amp;B-43A-ALIGN"}</definedName>
    <definedName name="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gk2" hidden="1">#REF!</definedName>
    <definedName name="___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bs123" hidden="1">{#N/A,#N/A,FALSE,"M&amp;B_43A_fab";#N/A,#N/A,FALSE,"M&amp;B_43A_ERE.";#N/A,#N/A,FALSE,"M&amp;B-43A-ALIGN"}</definedName>
    <definedName name="______ABS2" hidden="1">{#N/A,#N/A,FALSE,"M&amp;B_43A_fab";#N/A,#N/A,FALSE,"M&amp;B_43A_ERE.";#N/A,#N/A,FALSE,"M&amp;B-43A-ALIGN"}</definedName>
    <definedName name="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gk2" hidden="1">#REF!</definedName>
    <definedName name="__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abs123" hidden="1">{#N/A,#N/A,FALSE,"M&amp;B_43A_fab";#N/A,#N/A,FALSE,"M&amp;B_43A_ERE.";#N/A,#N/A,FALSE,"M&amp;B-43A-ALIGN"}</definedName>
    <definedName name="_____ABS2" hidden="1">{#N/A,#N/A,FALSE,"M&amp;B_43A_fab";#N/A,#N/A,FALSE,"M&amp;B_43A_ERE.";#N/A,#N/A,FALSE,"M&amp;B-43A-ALIGN"}</definedName>
    <definedName name="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gk2" hidden="1">#REF!</definedName>
    <definedName name="_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abs123" hidden="1">{#N/A,#N/A,FALSE,"M&amp;B_43A_fab";#N/A,#N/A,FALSE,"M&amp;B_43A_ERE.";#N/A,#N/A,FALSE,"M&amp;B-43A-ALIGN"}</definedName>
    <definedName name="____ABS2" hidden="1">{#N/A,#N/A,FALSE,"M&amp;B_43A_fab";#N/A,#N/A,FALSE,"M&amp;B_43A_ERE.";#N/A,#N/A,FALSE,"M&amp;B-43A-ALIGN"}</definedName>
    <definedName name="____ans987" hidden="1">{#N/A,#N/A,FALSE,"VARIATIONS";#N/A,#N/A,FALSE,"BUDGET";#N/A,#N/A,FALSE,"CIVIL QNTY VAR";#N/A,#N/A,FALSE,"SUMMARY";#N/A,#N/A,FALSE,"MATERIAL VAR"}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1" hidden="1">{#N/A,#N/A,FALSE,"VARIATIONS";#N/A,#N/A,FALSE,"BUDGET";#N/A,#N/A,FALSE,"CIVIL QNTY VAR";#N/A,#N/A,FALSE,"SUMMARY";#N/A,#N/A,FALSE,"MATERIAL VAR"}</definedName>
    <definedName name="____d2" hidden="1">{#N/A,#N/A,FALSE,"mgtsum.XLS";#N/A,#N/A,FALSE,"CAPONE";#N/A,#N/A,FALSE,"CAPTWO";#N/A,#N/A,FALSE,"CAPTHREE"}</definedName>
    <definedName name="____dd5" hidden="1">{#N/A,#N/A,FALSE,"VARIATIONS";#N/A,#N/A,FALSE,"BUDGET";#N/A,#N/A,FALSE,"CIVIL QNTY VAR";#N/A,#N/A,FALSE,"SUMMARY";#N/A,#N/A,FALSE,"MATERIAL VAR"}</definedName>
    <definedName name="____f1" hidden="1">{#N/A,#N/A,FALSE,"VARIATIONS";#N/A,#N/A,FALSE,"BUDGET";#N/A,#N/A,FALSE,"CIVIL QNTY VAR";#N/A,#N/A,FALSE,"SUMMARY";#N/A,#N/A,FALSE,"MATERIAL VAR"}</definedName>
    <definedName name="____gk2" hidden="1">#REF!</definedName>
    <definedName name="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ns1" hidden="1">{#N/A,#N/A,FALSE,"COVER1.XLS ";#N/A,#N/A,FALSE,"RACT1.XLS";#N/A,#N/A,FALSE,"RACT2.XLS";#N/A,#N/A,FALSE,"ECCMP";#N/A,#N/A,FALSE,"WELDER.XLS"}</definedName>
    <definedName name="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aaa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abs123" hidden="1">{#N/A,#N/A,FALSE,"M&amp;B_43A_fab";#N/A,#N/A,FALSE,"M&amp;B_43A_ERE.";#N/A,#N/A,FALSE,"M&amp;B-43A-ALIGN"}</definedName>
    <definedName name="___ABS2" hidden="1">{#N/A,#N/A,FALSE,"M&amp;B_43A_fab";#N/A,#N/A,FALSE,"M&amp;B_43A_ERE.";#N/A,#N/A,FALSE,"M&amp;B-43A-ALIGN"}</definedName>
    <definedName name="___ans987" hidden="1">{#N/A,#N/A,FALSE,"VARIATIONS";#N/A,#N/A,FALSE,"BUDGET";#N/A,#N/A,FALSE,"CIVIL QNTY VAR";#N/A,#N/A,FALSE,"SUMMARY";#N/A,#N/A,FALSE,"MATERIAL VAR"}</definedName>
    <definedName name="___bvb7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bvg6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1" hidden="1">{#N/A,#N/A,FALSE,"VARIATIONS";#N/A,#N/A,FALSE,"BUDGET";#N/A,#N/A,FALSE,"CIVIL QNTY VAR";#N/A,#N/A,FALSE,"SUMMARY";#N/A,#N/A,FALSE,"MATERIAL VAR"}</definedName>
    <definedName name="___d2" hidden="1">{#N/A,#N/A,FALSE,"mgtsum.XLS";#N/A,#N/A,FALSE,"CAPONE";#N/A,#N/A,FALSE,"CAPTWO";#N/A,#N/A,FALSE,"CAPTHREE"}</definedName>
    <definedName name="___dd5" hidden="1">{#N/A,#N/A,FALSE,"VARIATIONS";#N/A,#N/A,FALSE,"BUDGET";#N/A,#N/A,FALSE,"CIVIL QNTY VAR";#N/A,#N/A,FALSE,"SUMMARY";#N/A,#N/A,FALSE,"MATERIAL VAR"}</definedName>
    <definedName name="___e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f1" hidden="1">{#N/A,#N/A,FALSE,"VARIATIONS";#N/A,#N/A,FALSE,"BUDGET";#N/A,#N/A,FALSE,"CIVIL QNTY VAR";#N/A,#N/A,FALSE,"SUMMARY";#N/A,#N/A,FALSE,"MATERIAL VAR"}</definedName>
    <definedName name="___fco2" hidden="1">{#N/A,#N/A,FALSE,"gc (2)"}</definedName>
    <definedName name="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gg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j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j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u7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gk2" hidden="1">#REF!</definedName>
    <definedName name="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f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hh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j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jpl1" hidden="1">#REF!</definedName>
    <definedName name="___key2" hidden="1">#REF!</definedName>
    <definedName name="___kk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m99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mmm9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n87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nhu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nn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ns1" hidden="1">{#N/A,#N/A,FALSE,"COVER1.XLS ";#N/A,#N/A,FALSE,"RACT1.XLS";#N/A,#N/A,FALSE,"RACT2.XLS";#N/A,#N/A,FALSE,"ECCMP";#N/A,#N/A,FALSE,"WELDER.XLS"}</definedName>
    <definedName name="___PRN1" hidden="1">{#N/A,#N/A,FALSE,"COVER.XLS";#N/A,#N/A,FALSE,"RACT1.XLS";#N/A,#N/A,FALSE,"RACT2.XLS";#N/A,#N/A,FALSE,"ECCMP";#N/A,#N/A,FALSE,"WELDER.XLS"}</definedName>
    <definedName name="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m1" hidden="1">{#N/A,#N/A,FALSE,"gc (2)"}</definedName>
    <definedName name="___rep50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ep50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r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sti02" hidden="1">{#N/A,#N/A,FALSE,"gc (2)"}</definedName>
    <definedName name="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a1" hidden="1">{#N/A,#N/A,TRUE,"Financials";#N/A,#N/A,TRUE,"Operating Statistics";#N/A,#N/A,TRUE,"Capex &amp; Depreciation";#N/A,#N/A,TRUE,"Debt"}</definedName>
    <definedName name="___tb1" hidden="1">{#N/A,#N/A,FALSE,"One Pager";#N/A,#N/A,FALSE,"Technical"}</definedName>
    <definedName name="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yy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ujn7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uu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b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bv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v44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wbu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2" hidden="1">{#N/A,#N/A,FALSE,"COVER1.XLS ";#N/A,#N/A,FALSE,"RACT1.XLS";#N/A,#N/A,FALSE,"RACT2.XLS";#N/A,#N/A,FALSE,"ECCMP";#N/A,#N/A,FALSE,"WELDER.XLS"}</definedName>
    <definedName name="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xlfn.BAHTTEXT" hidden="1">#NAME?</definedName>
    <definedName name="___yu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123Graph_AIncome" hidden="1">#REF!</definedName>
    <definedName name="__123Graph_ASummary" hidden="1">#REF!</definedName>
    <definedName name="__123Graph_BIncome" hidden="1">#REF!</definedName>
    <definedName name="__123Graph_BSummary" hidden="1">#REF!</definedName>
    <definedName name="__123Graph_XIncome" hidden="1">#REF!</definedName>
    <definedName name="__a1" hidden="1">{#N/A,#N/A,FALSE,"VARIATIONS";#N/A,#N/A,FALSE,"BUDGET";#N/A,#N/A,FALSE,"CIVIL QNTY VAR";#N/A,#N/A,FALSE,"SUMMARY";#N/A,#N/A,FALSE,"MATERIAL VAR"}</definedName>
    <definedName name="__aaa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abs123" hidden="1">{#N/A,#N/A,FALSE,"M&amp;B_43A_fab";#N/A,#N/A,FALSE,"M&amp;B_43A_ERE.";#N/A,#N/A,FALSE,"M&amp;B-43A-ALIGN"}</definedName>
    <definedName name="__ABS2" hidden="1">{#N/A,#N/A,FALSE,"M&amp;B_43A_fab";#N/A,#N/A,FALSE,"M&amp;B_43A_ERE.";#N/A,#N/A,FALSE,"M&amp;B-43A-ALIGN"}</definedName>
    <definedName name="__ans987" hidden="1">{#N/A,#N/A,FALSE,"VARIATIONS";#N/A,#N/A,FALSE,"BUDGET";#N/A,#N/A,FALSE,"CIVIL QNTY VAR";#N/A,#N/A,FALSE,"SUMMARY";#N/A,#N/A,FALSE,"MATERIAL VAR"}</definedName>
    <definedName name="__b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bvb7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bvg6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cAE__eE_o" hidden="1">#REF!</definedName>
    <definedName name="__can435">43.3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cr1" hidden="1">{#N/A,#N/A,TRUE,"Cover";#N/A,#N/A,TRUE,"Conts";#N/A,#N/A,TRUE,"VOS";#N/A,#N/A,TRUE,"Warrington";#N/A,#N/A,TRUE,"Widnes"}</definedName>
    <definedName name="__d1" hidden="1">{#N/A,#N/A,FALSE,"VARIATIONS";#N/A,#N/A,FALSE,"BUDGET";#N/A,#N/A,FALSE,"CIVIL QNTY VAR";#N/A,#N/A,FALSE,"SUMMARY";#N/A,#N/A,FALSE,"MATERIAL VAR"}</definedName>
    <definedName name="__d2" hidden="1">{#N/A,#N/A,FALSE,"mgtsum.XLS";#N/A,#N/A,FALSE,"CAPONE";#N/A,#N/A,FALSE,"CAPTWO";#N/A,#N/A,FALSE,"CAPTHREE"}</definedName>
    <definedName name="__dd5" hidden="1">{#N/A,#N/A,FALSE,"VARIATIONS";#N/A,#N/A,FALSE,"BUDGET";#N/A,#N/A,FALSE,"CIVIL QNTY VAR";#N/A,#N/A,FALSE,"SUMMARY";#N/A,#N/A,FALSE,"MATERIAL VAR"}</definedName>
    <definedName name="__dk1" hidden="1">{#N/A,#N/A,FALSE,"COVER.XLS";#N/A,#N/A,FALSE,"RACT1.XLS";#N/A,#N/A,FALSE,"RACT2.XLS";#N/A,#N/A,FALSE,"ECCMP";#N/A,#N/A,FALSE,"WELDER.XLS"}</definedName>
    <definedName name="__e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f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FDS_HYPERLINK_TOGGLE_STATE__" hidden="1">"ON"</definedName>
    <definedName name="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gg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j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j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u7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gk2" hidden="1">#REF!</definedName>
    <definedName name="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f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hh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ntlFixup" hidden="1">TRUE</definedName>
    <definedName name="__IntlFixupTable" hidden="1">#REF!</definedName>
    <definedName name="__IV160000">#REF!</definedName>
    <definedName name="__jj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jpl1" hidden="1">#REF!</definedName>
    <definedName name="__key2" hidden="1">#REF!</definedName>
    <definedName name="__kk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m99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mmm9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n87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nhu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nn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_PRN1" hidden="1">{#N/A,#N/A,FALSE,"COVER.XLS";#N/A,#N/A,FALSE,"RACT1.XLS";#N/A,#N/A,FALSE,"RACT2.XLS";#N/A,#N/A,FALSE,"ECCMP";#N/A,#N/A,FALSE,"WELDER.XLS"}</definedName>
    <definedName name="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ep50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ep50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r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hidden="1">{#N/A,#N/A,TRUE,"Financials";#N/A,#N/A,TRUE,"Operating Statistics";#N/A,#N/A,TRUE,"Capex &amp; Depreciation";#N/A,#N/A,TRUE,"Debt"}</definedName>
    <definedName name="__tb1" hidden="1">{#N/A,#N/A,FALSE,"One Pager";#N/A,#N/A,FALSE,"Technical"}</definedName>
    <definedName name="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yy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ujn7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uu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b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bv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v44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wbu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WRN1" hidden="1">{#N/A,#N/A,FALSE,"COMPUTATION";#N/A,#N/A,FALSE,"CAPITAL ACCOUNT";#N/A,#N/A,FALSE,"CURRENT ACCOUNT";#N/A,#N/A,FALSE,"COMPANY_BAL_SHEET";#N/A,#N/A,FALSE,"TRADING &amp; P&amp;L ACT";#N/A,#N/A,FALSE,"SCHEDULE VIII, IX";#N/A,#N/A,FALSE,"SCHEDULES";#N/A,#N/A,FALSE,"FIXED ASSETS"}</definedName>
    <definedName name="__WRN2" hidden="1">{#N/A,#N/A,FALSE,"COMPUTATION";#N/A,#N/A,FALSE,"CAPITAL ACCOUNT";#N/A,#N/A,FALSE,"CURRENT ACCOUNT";#N/A,#N/A,FALSE,"COMPANY_BAL_SHEET";#N/A,#N/A,FALSE,"TRADING &amp; P&amp;L ACT";#N/A,#N/A,FALSE,"SCHEDULE VIII, IX";#N/A,#N/A,FALSE,"SCHEDULES";#N/A,#N/A,FALSE,"FIXED ASSETS"}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xlfn.BAHTTEXT" hidden="1">#NAME?</definedName>
    <definedName name="__yu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Admin_Expenses" hidden="1">#REF!</definedName>
    <definedName name="_1__123Graph_AChart_1AJ" hidden="1">#REF!</definedName>
    <definedName name="_10___123Graph_CMOB_02" hidden="1">#REF!</definedName>
    <definedName name="_11___123Graph_DMOB_01" hidden="1">#REF!</definedName>
    <definedName name="_12___123Graph_DMOB_02" hidden="1">#REF!</definedName>
    <definedName name="_13___123Graph_EMOB_02" hidden="1">#REF!</definedName>
    <definedName name="_14___123Graph_FMOB_02" hidden="1">#REF!</definedName>
    <definedName name="_15___123Graph_LBL_AMOB_01" hidden="1">#REF!</definedName>
    <definedName name="_16___123Graph_LBL_AMOB_02" hidden="1">#REF!</definedName>
    <definedName name="_17___123Graph_LBL_BMOB_01" hidden="1">#REF!</definedName>
    <definedName name="_18___123Graph_LBL_BMOB_02" hidden="1">#REF!</definedName>
    <definedName name="_19___123Graph_LBL_CMOB_01" hidden="1">#REF!</definedName>
    <definedName name="_1Z_8F2E145D_25EE_4C61_9720_9ACB051EA5D2_.wvu.PrintArea_1">#REF!</definedName>
    <definedName name="_2__123Graph_AChart_1AJ" hidden="1">#REF!</definedName>
    <definedName name="_2__123Graph_AChart_1Q" hidden="1">#REF!</definedName>
    <definedName name="_2__123Graph_AService_Expense" hidden="1">#REF!</definedName>
    <definedName name="_20___123Graph_LBL_CMOB_02" hidden="1">#REF!</definedName>
    <definedName name="_21___123Graph_LBL_DMOB_01" hidden="1">#REF!</definedName>
    <definedName name="_22___123Graph_LBL_DMOB_02" hidden="1">#REF!</definedName>
    <definedName name="_23___123Graph_LBL_EMOB_02" hidden="1">#REF!</definedName>
    <definedName name="_24___123Graph_LBL_FMOB_02" hidden="1">#REF!</definedName>
    <definedName name="_25___123Graph_XMOB_01" hidden="1">#REF!</definedName>
    <definedName name="_26___123Graph_XMOB_02" hidden="1">#REF!</definedName>
    <definedName name="_27__123Graph_AMOB_01" hidden="1">#REF!</definedName>
    <definedName name="_28__123Graph_AMOB_02" hidden="1">#REF!</definedName>
    <definedName name="_29__123Graph_BMOB_01" hidden="1">#REF!</definedName>
    <definedName name="_2Z_8F2E145D_25EE_4C61_9720_9ACB051EA5D2_.wvu.PrintArea_2">#REF!</definedName>
    <definedName name="_3__123Graph_AChart_1Q" hidden="1">#REF!</definedName>
    <definedName name="_3__123Graph_BAdmin_Expenses" hidden="1">#REF!</definedName>
    <definedName name="_3__123Graph_BChart_1Q" hidden="1">#REF!</definedName>
    <definedName name="_30__123Graph_BMOB_02" hidden="1">#REF!</definedName>
    <definedName name="_31__123Graph_CMOB_01" hidden="1">#REF!</definedName>
    <definedName name="_32__123Graph_CMOB_02" hidden="1">#REF!</definedName>
    <definedName name="_33__123Graph_DMOB_01" hidden="1">#REF!</definedName>
    <definedName name="_34__123Graph_DMOB_02" hidden="1">#REF!</definedName>
    <definedName name="_35__123Graph_EMOB_02" hidden="1">#REF!</definedName>
    <definedName name="_36__123Graph_FMOB_02" hidden="1">#REF!</definedName>
    <definedName name="_37__123Graph_LBL_AMOB_01" hidden="1">#REF!</definedName>
    <definedName name="_38__123Graph_LBL_AMOB_02" hidden="1">#REF!</definedName>
    <definedName name="_39__123Graph_LBL_BMOB_01" hidden="1">#REF!</definedName>
    <definedName name="_4__123Graph_BChart_1Q" hidden="1">#REF!</definedName>
    <definedName name="_4__123Graph_BService_Expense" hidden="1">#REF!</definedName>
    <definedName name="_40__123Graph_LBL_BMOB_02" hidden="1">#REF!</definedName>
    <definedName name="_41__123Graph_LBL_CMOB_01" hidden="1">#REF!</definedName>
    <definedName name="_42__123Graph_LBL_CMOB_02" hidden="1">#REF!</definedName>
    <definedName name="_43__123Graph_LBL_DMOB_01" hidden="1">#REF!</definedName>
    <definedName name="_44__123Graph_LBL_DMOB_02" hidden="1">#REF!</definedName>
    <definedName name="_45__123Graph_LBL_EMOB_02" hidden="1">#REF!</definedName>
    <definedName name="_46__123Graph_LBL_FMOB_02" hidden="1">#REF!</definedName>
    <definedName name="_47__123Graph_XMOB_01" hidden="1">#REF!</definedName>
    <definedName name="_48__123Graph_XMOB_02" hidden="1">#REF!</definedName>
    <definedName name="_5___123Graph_AMOB_01" hidden="1">#REF!</definedName>
    <definedName name="_5__123Graph_XAdmin_Expenses" hidden="1">#REF!</definedName>
    <definedName name="_55_____" hidden="1">{#N/A,#N/A,FALSE,"CCTV"}</definedName>
    <definedName name="_55_³_¿ª" hidden="1">{#N/A,#N/A,FALSE,"CCTV"}</definedName>
    <definedName name="_56_____" hidden="1">{#N/A,#N/A,FALSE,"CCTV"}</definedName>
    <definedName name="_56_³_¿ª" hidden="1">{#N/A,#N/A,FALSE,"CCTV"}</definedName>
    <definedName name="_6___123Graph_AMOB_02" hidden="1">#REF!</definedName>
    <definedName name="_6__123Graph_XService_Expense" hidden="1">#REF!</definedName>
    <definedName name="_7___123Graph_BMOB_01" hidden="1">#REF!</definedName>
    <definedName name="_79____" hidden="1">{#N/A,#N/A,FALSE,"CCTV"}</definedName>
    <definedName name="_79³_¿ª" hidden="1">{#N/A,#N/A,FALSE,"CCTV"}</definedName>
    <definedName name="_8___123Graph_BMOB_02" hidden="1">#REF!</definedName>
    <definedName name="_87____" hidden="1">{#N/A,#N/A,FALSE,"CCTV"}</definedName>
    <definedName name="_87³_¿ª" hidden="1">{#N/A,#N/A,FALSE,"CCTV"}</definedName>
    <definedName name="_9___123Graph_CMOB_01" hidden="1">#REF!</definedName>
    <definedName name="_aaa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abs123" hidden="1">{#N/A,#N/A,FALSE,"M&amp;B_43A_fab";#N/A,#N/A,FALSE,"M&amp;B_43A_ERE.";#N/A,#N/A,FALSE,"M&amp;B-43A-ALIGN"}</definedName>
    <definedName name="_ABS2" hidden="1">{#N/A,#N/A,FALSE,"M&amp;B_43A_fab";#N/A,#N/A,FALSE,"M&amp;B_43A_ERE.";#N/A,#N/A,FALSE,"M&amp;B-43A-ALIGN"}</definedName>
    <definedName name="_ans987" hidden="1">{#N/A,#N/A,FALSE,"VARIATIONS";#N/A,#N/A,FALSE,"BUDGET";#N/A,#N/A,FALSE,"CIVIL QNTY VAR";#N/A,#N/A,FALSE,"SUMMARY";#N/A,#N/A,FALSE,"MATERIAL VAR"}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Builtin155" hidden="1">#N/A</definedName>
    <definedName name="_bvb7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bvg6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cAE_eE_" hidden="1">#REF!</definedName>
    <definedName name="_can430">40.73</definedName>
    <definedName name="_can435">43.3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1" hidden="1">{#N/A,#N/A,FALSE,"VARIATIONS";#N/A,#N/A,FALSE,"BUDGET";#N/A,#N/A,FALSE,"CIVIL QNTY VAR";#N/A,#N/A,FALSE,"SUMMARY";#N/A,#N/A,FALSE,"MATERIAL VAR"}</definedName>
    <definedName name="_d2" hidden="1">{#N/A,#N/A,FALSE,"mgtsum.XLS";#N/A,#N/A,FALSE,"CAPONE";#N/A,#N/A,FALSE,"CAPTWO";#N/A,#N/A,FALSE,"CAPTHREE"}</definedName>
    <definedName name="_dd5" hidden="1">{#N/A,#N/A,FALSE,"VARIATIONS";#N/A,#N/A,FALSE,"BUDGET";#N/A,#N/A,FALSE,"CIVIL QNTY VAR";#N/A,#N/A,FALSE,"SUMMARY";#N/A,#N/A,FALSE,"MATERIAL VAR"}</definedName>
    <definedName name="_dk1" hidden="1">{#N/A,#N/A,FALSE,"COVER.XLS";#N/A,#N/A,FALSE,"RACT1.XLS";#N/A,#N/A,FALSE,"RACT2.XLS";#N/A,#N/A,FALSE,"ECCMP";#N/A,#N/A,FALSE,"WELDER.XLS"}</definedName>
    <definedName name="_e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f1" hidden="1">{#N/A,#N/A,FALSE,"VARIATIONS";#N/A,#N/A,FALSE,"BUDGET";#N/A,#N/A,FALSE,"CIVIL QNTY VAR";#N/A,#N/A,FALSE,"SUMMARY";#N/A,#N/A,FALSE,"MATERIAL VAR"}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co2" hidden="1">{#N/A,#N/A,FALSE,"gc (2)"}</definedName>
    <definedName name="_Fill" hidden="1">#REF!</definedName>
    <definedName name="_xlnm._FilterDatabase" hidden="1">#REF!</definedName>
    <definedName name="_gg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j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j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u7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gk2" hidden="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hh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V160000">#REF!</definedName>
    <definedName name="_jj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jpl1" hidden="1">#REF!</definedName>
    <definedName name="_jyr6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Key1" hidden="1">#REF!</definedName>
    <definedName name="_key2" hidden="1">#REF!</definedName>
    <definedName name="_kk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1" hidden="1">{#N/A,#N/A,FALSE,"mgtsum.XLS";#N/A,#N/A,FALSE,"CAPONE";#N/A,#N/A,FALSE,"CAPTWO";#N/A,#N/A,FALSE,"CAPTHREE"}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1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MatInverse_In" hidden="1">#REF!</definedName>
    <definedName name="_mm99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mmm9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n87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nhu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nn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NT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0</definedName>
    <definedName name="_Parse_Out" hidden="1">#REF!</definedName>
    <definedName name="_ppa1" hidden="1">{#N/A,#N/A,FALSE,"Aging Summary";#N/A,#N/A,FALSE,"Ratio Analysis";#N/A,#N/A,FALSE,"Test 120 Day Accts";#N/A,#N/A,FALSE,"Tickmarks"}</definedName>
    <definedName name="_PRN1" hidden="1">{#N/A,#N/A,FALSE,"COVER.XLS";#N/A,#N/A,FALSE,"RACT1.XLS";#N/A,#N/A,FALSE,"RACT2.XLS";#N/A,#N/A,FALSE,"ECCMP";#N/A,#N/A,FALSE,"WELDER.XLS"}</definedName>
    <definedName name="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m1" hidden="1">{#N/A,#N/A,FALSE,"gc (2)"}</definedName>
    <definedName name="_Regression_X" hidden="1">#REF!</definedName>
    <definedName name="_rep50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ep50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r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ort" hidden="1">#REF!</definedName>
    <definedName name="_sti02" hidden="1">{#N/A,#N/A,FALSE,"gc (2)"}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hidden="1">{#N/A,#N/A,TRUE,"Financials";#N/A,#N/A,TRUE,"Operating Statistics";#N/A,#N/A,TRUE,"Capex &amp; Depreciation";#N/A,#N/A,TRUE,"Debt"}</definedName>
    <definedName name="_Table2_In1" hidden="1">#REF!</definedName>
    <definedName name="_Table2_In2" hidden="1">#REF!</definedName>
    <definedName name="_Table2_Out" hidden="1">#REF!</definedName>
    <definedName name="_tb1" hidden="1">{#N/A,#N/A,FALSE,"One Pager";#N/A,#N/A,FALSE,"Technical"}</definedName>
    <definedName name="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yy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ujn7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uu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b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bv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v44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wbu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WRN1" hidden="1">{#N/A,#N/A,FALSE,"COMPUTATION";#N/A,#N/A,FALSE,"CAPITAL ACCOUNT";#N/A,#N/A,FALSE,"CURRENT ACCOUNT";#N/A,#N/A,FALSE,"COMPANY_BAL_SHEET";#N/A,#N/A,FALSE,"TRADING &amp; P&amp;L ACT";#N/A,#N/A,FALSE,"SCHEDULE VIII, IX";#N/A,#N/A,FALSE,"SCHEDULES";#N/A,#N/A,FALSE,"FIXED ASSETS"}</definedName>
    <definedName name="_WRN2" hidden="1">{#N/A,#N/A,FALSE,"COMPUTATION";#N/A,#N/A,FALSE,"CAPITAL ACCOUNT";#N/A,#N/A,FALSE,"CURRENT ACCOUNT";#N/A,#N/A,FALSE,"COMPANY_BAL_SHEET";#N/A,#N/A,FALSE,"TRADING &amp; P&amp;L ACT";#N/A,#N/A,FALSE,"SCHEDULE VIII, IX";#N/A,#N/A,FALSE,"SCHEDULES";#N/A,#N/A,FALSE,"FIXED ASSETS"}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yu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´cAE°eE¹" hidden="1">#REF!</definedName>
    <definedName name="￠￥cAE¡ÆeEⓒo" hidden="1">#REF!</definedName>
    <definedName name="a" hidden="1">#REF!</definedName>
    <definedName name="AA.Report.Files" hidden="1">#REF!</definedName>
    <definedName name="AA.Reports.Available" hidden="1">#REF!</definedName>
    <definedName name="AAA_DOCTOPS" hidden="1">"AAA_SET"</definedName>
    <definedName name="AAA_duser" hidden="1">"OFF"</definedName>
    <definedName name="aaaaaaaaaaaaaaaaaaaaaaaaaa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aaaaaaaaaaaaaaaaaaaaaaaaaaaaaa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aaaaaaaaaaaaaaaaaaaaaaaaaaaaaaa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AAAB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B_Addin5" hidden="1">"AAB_Description for addin 5,Description for addin 5,Description for addin 5,Description for addin 5,Description for addin 5,Description for addin 5"</definedName>
    <definedName name="aaee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ffa" hidden="1">{#N/A,#N/A,FALSE,"COVER.XLS";#N/A,#N/A,FALSE,"RACT1.XLS";#N/A,#N/A,FALSE,"RACT2.XLS";#N/A,#N/A,FALSE,"ECCMP";#N/A,#N/A,FALSE,"WELDER.XLS"}</definedName>
    <definedName name="aakdf" hidden="1">{#N/A,#N/A,FALSE,"mgtsum.XLS";#N/A,#N/A,FALSE,"CAPONE";#N/A,#N/A,FALSE,"CAPTWO";#N/A,#N/A,FALSE,"CAPTHREE"}</definedName>
    <definedName name="AB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aba" hidden="1">{#N/A,#N/A,FALSE,"COVER1.XLS ";#N/A,#N/A,FALSE,"RACT1.XLS";#N/A,#N/A,FALSE,"RACT2.XLS";#N/A,#N/A,FALSE,"ECCMP";#N/A,#N/A,FALSE,"WELDER.XLS"}</definedName>
    <definedName name="abcde" hidden="1">{#N/A,#N/A,FALSE,"VARIATIONS";#N/A,#N/A,FALSE,"BUDGET";#N/A,#N/A,FALSE,"CIVIL QNTY VAR";#N/A,#N/A,FALSE,"SUMMARY";#N/A,#N/A,FALSE,"MATERIAL VAR"}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hidden="1">#REF!</definedName>
    <definedName name="AccessDatabase" hidden="1">"C:\data\excel\temp.mdb"</definedName>
    <definedName name="accomation" hidden="1">#REF!</definedName>
    <definedName name="ACVR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d" hidden="1">{#N/A,#N/A,FALSE,"COVER1.XLS ";#N/A,#N/A,FALSE,"RACT1.XLS";#N/A,#N/A,FALSE,"RACT2.XLS";#N/A,#N/A,FALSE,"ECCMP";#N/A,#N/A,FALSE,"WELDER.XLS"}</definedName>
    <definedName name="AD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_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" hidden="1">{#N/A,#N/A,FALSE,"COVER1.XLS ";#N/A,#N/A,FALSE,"RACT1.XLS";#N/A,#N/A,FALSE,"RACT2.XLS";#N/A,#N/A,FALSE,"ECCMP";#N/A,#N/A,FALSE,"WELDER.XLS"}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s" hidden="1">{#N/A,#N/A,FALSE,"COVER1.XLS ";#N/A,#N/A,FALSE,"RACT1.XLS";#N/A,#N/A,FALSE,"RACT2.XLS";#N/A,#N/A,FALSE,"ECCMP";#N/A,#N/A,FALSE,"WELDER.XLS"}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fasd" hidden="1">{#N/A,#N/A,FALSE,"단가표지"}</definedName>
    <definedName name="afd" hidden="1">{#N/A,#N/A,FALSE,"운반시간"}</definedName>
    <definedName name="aff" hidden="1">{#N/A,#N/A,TRUE,"Cover";#N/A,#N/A,TRUE,"Conts";#N/A,#N/A,TRUE,"VOS";#N/A,#N/A,TRUE,"Warrington";#N/A,#N/A,TRUE,"Widnes"}</definedName>
    <definedName name="ALLLLLL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SJDIWHD" hidden="1">{#N/A,#N/A,FALSE,"견적대비-2"}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it" hidden="1">{"Balance Sheet",#N/A,FALSE,"Balsheet";"Assets Schedule",#N/A,FALSE,"Balsheet";"Abstract",#N/A,FALSE,"Balsheet"}</definedName>
    <definedName name="amt" hidden="1">{"Balance Sheet",#N/A,FALSE,"Balsheet";"Assets Schedule",#N/A,FALSE,"Balsheet";"Abstract",#N/A,FALSE,"Balsheet"}</definedName>
    <definedName name="anscount" hidden="1">1</definedName>
    <definedName name="appraisal" hidden="1">{#N/A,#N/A,TRUE,"Cover";#N/A,#N/A,TRUE,"Conts";#N/A,#N/A,TRUE,"VOS";#N/A,#N/A,TRUE,"Warrington";#N/A,#N/A,TRUE,"Widnes"}</definedName>
    <definedName name="AQWE" hidden="1">{#N/A,#N/A,FALSE,"mpph1";#N/A,#N/A,FALSE,"mpmseb";#N/A,#N/A,FALSE,"mpph2"}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A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RUN" hidden="1">#REF!</definedName>
    <definedName name="arvind" hidden="1">{#N/A,#N/A,FALSE,"VARIATIONS";#N/A,#N/A,FALSE,"BUDGET";#N/A,#N/A,FALSE,"CIVIL QNTY VAR";#N/A,#N/A,FALSE,"SUMMARY";#N/A,#N/A,FALSE,"MATERIAL VAR"}</definedName>
    <definedName name="AS2DocOpenMode" hidden="1">"AS2DocumentEdit"</definedName>
    <definedName name="AS2NamedRange" hidden="1">11</definedName>
    <definedName name="AS2ReportLS" hidden="1">1</definedName>
    <definedName name="AS2SyncStepLS" hidden="1">0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AS" hidden="1">{#N/A,#N/A,FALSE,"견적대비-2"}</definedName>
    <definedName name="asdasd" hidden="1">{#N/A,#N/A,FALSE,"Aging Summary";#N/A,#N/A,FALSE,"Ratio Analysis";#N/A,#N/A,FALSE,"Test 120 Day Accts";#N/A,#N/A,FALSE,"Tickmarks"}</definedName>
    <definedName name="asdasddfguer" hidden="1">#N/A</definedName>
    <definedName name="asdccccc" hidden="1">#REF!</definedName>
    <definedName name="asdfgsdgsdgsdgadga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sa" hidden="1">#REF!</definedName>
    <definedName name="asdfsadf" hidden="1">#REF!</definedName>
    <definedName name="ASDFSDFF" hidden="1">{#N/A,#N/A,FALSE,"mgtsum.XLS";#N/A,#N/A,FALSE,"CAPONE";#N/A,#N/A,FALSE,"CAPTWO";#N/A,#N/A,FALSE,"CAPTHREE"}</definedName>
    <definedName name="asfas" hidden="1">{#N/A,#N/A,FALSE,"표지목차"}</definedName>
    <definedName name="ASFS" hidden="1">{#N/A,#N/A,FALSE,"mgtsum.XLS";#N/A,#N/A,FALSE,"CAPONE";#N/A,#N/A,FALSE,"CAPTWO";#N/A,#N/A,FALSE,"CAPTHREE"}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dg" hidden="1">#REF!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z" hidden="1">{#N/A,#N/A,FALSE,"VARIATIONS";#N/A,#N/A,FALSE,"BUDGET";#N/A,#N/A,FALSE,"CIVIL QNTY VAR";#N/A,#N/A,FALSE,"SUMMARY";#N/A,#N/A,FALSE,"MATERIAL VAR"}</definedName>
    <definedName name="aw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.ANAN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" hidden="1">#REF!</definedName>
    <definedName name="BADWE" hidden="1">{#N/A,#N/A,FALSE,"mpph1";#N/A,#N/A,FALSE,"mpmseb";#N/A,#N/A,FALSE,"mpph2"}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b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bbbbb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bbbbbbbbbb" hidden="1">#REF!</definedName>
    <definedName name="bbbbbbbbbbbbbbbbbbbbbbbbbbbbbbbbb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bbnnmj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ebl" hidden="1">{#N/A,#N/A,FALSE,"VARIATIONS";#N/A,#N/A,FALSE,"BUDGET";#N/A,#N/A,FALSE,"CIVIL QNTY VAR";#N/A,#N/A,FALSE,"SUMMARY";#N/A,#N/A,FALSE,"MATERIAL VAR"}</definedName>
    <definedName name="Beijing" hidden="1">{"All Except Totals",#N/A,TRUE,"Recap";"Totals Page",#N/A,TRUE,"Recap"}</definedName>
    <definedName name="berry" hidden="1">{#N/A,#N/A,FALSE,"Taxblinc";#N/A,#N/A,FALSE,"Rsvsacls"}</definedName>
    <definedName name="bfhn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G_Ins" hidden="1">4</definedName>
    <definedName name="BG_Mod" hidden="1">6</definedName>
    <definedName name="biiiiiiiii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M" hidden="1">#REF!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bbbb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vbbbbbbbbbb" hidden="1">{"'Sheet1'!$A$4386:$N$4591"}</definedName>
    <definedName name="bv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dc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l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fl" hidden="1">{#N/A,#N/A,TRUE,"Cover";#N/A,#N/A,TRUE,"Conts";#N/A,#N/A,TRUE,"VOS";#N/A,#N/A,TRUE,"Warrington";#N/A,#N/A,TRUE,"Widnes"}</definedName>
    <definedName name="Casual" hidden="1">#REF!</definedName>
    <definedName name="cat" hidden="1">{#N/A,#N/A,FALSE,"Taxblinc";#N/A,#N/A,FALSE,"Rsvsacls"}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cbcbcb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bgbgfgfgf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" hidden="1">{#N/A,#N/A,FALSE,"VARIATIONS";#N/A,#N/A,FALSE,"BUDGET";#N/A,#N/A,FALSE,"CIVIL QNTY VAR";#N/A,#N/A,FALSE,"SUMMARY";#N/A,#N/A,FALSE,"MATERIAL VAR"}</definedName>
    <definedName name="ccccc" hidden="1">{#N/A,#N/A,FALSE,"mpph1";#N/A,#N/A,FALSE,"mpmseb";#N/A,#N/A,FALSE,"mpph2"}</definedName>
    <definedName name="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ccccc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CCFWPH" hidden="1">#REF!</definedName>
    <definedName name="CCR" hidden="1">{#N/A,#N/A,TRUE,"Cover";#N/A,#N/A,TRUE,"Conts";#N/A,#N/A,TRUE,"VOS";#N/A,#N/A,TRUE,"Warrington";#N/A,#N/A,TRUE,"Widnes"}</definedName>
    <definedName name="ccxcc5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hdfhfhfhj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cdu" hidden="1">{#N/A,#N/A,FALSE,"COVER.XLS";#N/A,#N/A,FALSE,"RACT1.XLS";#N/A,#N/A,FALSE,"RACT2.XLS";#N/A,#N/A,FALSE,"ECCMP";#N/A,#N/A,FALSE,"WELDER.XLS"}</definedName>
    <definedName name="cemen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NTER" hidden="1">#REF!</definedName>
    <definedName name="c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SEPT.99" hidden="1">{#N/A,#N/A,TRUE,"SCH99";#N/A,#N/A,TRUE,"BS99";"Groupings",#N/A,TRUE,"GROUP_99 ";"Groupings-Comparitive",#N/A,TRUE,"GROUP_99 ";#N/A,#N/A,TRUE,"SCH98_E";#N/A,#N/A,TRUE,"ASSET_99 "}</definedName>
    <definedName name="Cha" hidden="1">{#N/A,#N/A,FALSE,"gc (2)"}</definedName>
    <definedName name="chik" hidden="1">{#N/A,#N/A,FALSE,"Summary";#N/A,#N/A,FALSE,"1991";#N/A,#N/A,FALSE,"91 AMT";#N/A,#N/A,FALSE,"1992";#N/A,#N/A,FALSE,"92 AMT";#N/A,#N/A,FALSE,"1993";#N/A,#N/A,FALSE,"93 AMT"}</definedName>
    <definedName name="chimn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l" hidden="1">{#N/A,#N/A,FALSE,"Fund-II"}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de" hidden="1">#REF!</definedName>
    <definedName name="co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MMON" hidden="1">#REF!</definedName>
    <definedName name="COMP" hidden="1">#REF!</definedName>
    <definedName name="COMPARISON" hidden="1">{#N/A,#N/A,FALSE,"mpph1";#N/A,#N/A,FALSE,"mpmseb";#N/A,#N/A,FALSE,"mpph2"}</definedName>
    <definedName name="C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v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WD_ITEMS_1">"#REF!"</definedName>
    <definedName name="CPWD_ITEMS_2">"#REF!"</definedName>
    <definedName name="CPWD_ITEMS_3">"#REF!"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DCSDSAS" hidden="1">#REF!</definedName>
    <definedName name="CURVE" hidden="1">{#N/A,#N/A,FALSE,"COVER1.XLS ";#N/A,#N/A,FALSE,"RACT1.XLS";#N/A,#N/A,FALSE,"RACT2.XLS";#N/A,#N/A,FALSE,"ECCMP";#N/A,#N/A,FALSE,"WELDER.XLS"}</definedName>
    <definedName name="CV" hidden="1">#NAME?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vvb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31z" hidden="1">{#N/A,#N/A,FALSE,"mgtsum.XLS";#N/A,#N/A,FALSE,"CAPONE";#N/A,#N/A,FALSE,"CAPTWO";#N/A,#N/A,FALSE,"CAPTHREE"}</definedName>
    <definedName name="data1" hidden="1">#REF!</definedName>
    <definedName name="data2" hidden="1">#REF!</definedName>
    <definedName name="data3" hidden="1">#REF!</definedName>
    <definedName name="dataaabase">#REF!</definedName>
    <definedName name="_xlnm.Database">#REF!</definedName>
    <definedName name="Database.File" hidden="1">#REF!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{#N/A,#N/A,FALSE,"VARIATIONS";#N/A,#N/A,FALSE,"BUDGET";#N/A,#N/A,FALSE,"CIVIL QNTY VAR";#N/A,#N/A,FALSE,"SUMMARY";#N/A,#N/A,FALSE,"MATERIAL VAR"}</definedName>
    <definedName name="dddddd" hidden="1">{#N/A,#N/A,FALSE,"M&amp;B_43A_fab";#N/A,#N/A,FALSE,"M&amp;B_43A_ERE.";#N/A,#N/A,FALSE,"M&amp;B-43A-ALIGN"}</definedName>
    <definedName name="DDDDDDDDDDDDDD" hidden="1">{#N/A,#N/A,FALSE,"M&amp;B_43A_fab";#N/A,#N/A,FALSE,"M&amp;B_43A_ERE.";#N/A,#N/A,FALSE,"M&amp;B-43A-ALIGN"}</definedName>
    <definedName name="dddddddddddddddddddddddddddddddddddd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dd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De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e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ee" hidden="1">{"Bsheet",#N/A,FALSE,"Details";"P&amp;l",#N/A,FALSE,"Details";"Schedule",#N/A,FALSE,"Details";"Details",#N/A,FALSE,"Details";"Annexue II",#N/A,FALSE,"Details";"Branch Bs",#N/A,FALSE,"Details";"Branch PL",#N/A,FALSE,"Details"}</definedName>
    <definedName name="deep" hidden="1">{"Bsheet",#N/A,FALSE,"Details";"P&amp;L",#N/A,FALSE,"Details";"Schedule",#N/A,FALSE,"Details";"Details",#N/A,FALSE,"Details"}</definedName>
    <definedName name="de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cvddddds" hidden="1">#REF!</definedName>
    <definedName name="dfdfd" hidden="1">#REF!</definedName>
    <definedName name="dfdfdf" hidden="1">{#N/A,#N/A,FALSE,"VARIATIONS";#N/A,#N/A,FALSE,"BUDGET";#N/A,#N/A,FALSE,"CIVIL QNTY VAR";#N/A,#N/A,FALSE,"SUMMARY";#N/A,#N/A,FALSE,"MATERIAL VAR"}</definedName>
    <definedName name="dfg" hidden="1">{#N/A,#N/A,FALSE,"gc (2)"}</definedName>
    <definedName name="dfgdz" hidden="1">{#N/A,#N/A,FALSE,"VARIATIONS";#N/A,#N/A,FALSE,"BUDGET";#N/A,#N/A,FALSE,"CIVIL QNTY VAR";#N/A,#N/A,FALSE,"SUMMARY";#N/A,#N/A,FALSE,"MATERIAL VAR"}</definedName>
    <definedName name="dfgg" hidden="1">{#N/A,#N/A,FALSE,"gc (2)"}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uj" hidden="1">{#N/A,#N/A,FALSE,"VARIATIONS";#N/A,#N/A,FALSE,"BUDGET";#N/A,#N/A,FALSE,"CIVIL QNTY VAR";#N/A,#N/A,FALSE,"SUMMARY";#N/A,#N/A,FALSE,"MATERIAL VAR"}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fd" hidden="1">{#N/A,#N/A,FALSE,"COVER.XLS";#N/A,#N/A,FALSE,"RACT1.XLS";#N/A,#N/A,FALSE,"RACT2.XLS";#N/A,#N/A,FALSE,"ECCMP";#N/A,#N/A,FALSE,"WELDER.XLS"}</definedName>
    <definedName name="dg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r" hidden="1">{#N/A,#N/A,FALSE,"VARIATIONS";#N/A,#N/A,FALSE,"BUDGET";#N/A,#N/A,FALSE,"CIVIL QNTY VAR";#N/A,#N/A,FALSE,"SUMMARY";#N/A,#N/A,FALSE,"MATERIAL VAR"}</definedName>
    <definedName name="dhrtg" hidden="1">{#N/A,#N/A,FALSE,"VARIATIONS";#N/A,#N/A,FALSE,"BUDGET";#N/A,#N/A,FALSE,"CIVIL QNTY VAR";#N/A,#N/A,FALSE,"SUMMARY";#N/A,#N/A,FALSE,"MATERIAL VAR"}</definedName>
    <definedName name="DHTML" hidden="1">{"'Sheet1'!$A$4386:$N$4591"}</definedName>
    <definedName name="Discount" hidden="1">#REF!</definedName>
    <definedName name="display_area_2" hidden="1">#REF!</definedName>
    <definedName name="djfg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jii" hidden="1">{#N/A,#N/A,TRUE,"Cover";#N/A,#N/A,TRUE,"Conts";#N/A,#N/A,TRUE,"VOS";#N/A,#N/A,TRUE,"Warrington";#N/A,#N/A,TRUE,"Widnes"}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k" hidden="1">{#N/A,#N/A,FALSE,"COMPUTATION";#N/A,#N/A,FALSE,"CAPITAL ACCOUNT";#N/A,#N/A,FALSE,"CURRENT ACCOUNT";#N/A,#N/A,FALSE,"COMPANY_BAL_SHEET";#N/A,#N/A,FALSE,"TRADING &amp; P&amp;L ACT";#N/A,#N/A,FALSE,"SCHEDULE VIII, IX";#N/A,#N/A,FALSE,"SCHEDULES";#N/A,#N/A,FALSE,"FIXED ASSETS"}</definedName>
    <definedName name="dn" hidden="1">{#N/A,#N/A,FALSE,"COVER1.XLS ";#N/A,#N/A,FALSE,"RACT1.XLS";#N/A,#N/A,FALSE,"RACT2.XLS";#N/A,#N/A,FALSE,"ECCMP";#N/A,#N/A,FALSE,"WELDER.XLS"}</definedName>
    <definedName name="DNCJFGHH" hidden="1">#REF!</definedName>
    <definedName name="dog" hidden="1">{#N/A,#N/A,FALSE,"91NOLCB";#N/A,#N/A,FALSE,"92NOLCB";#N/A,#N/A,FALSE,"93NOLCB"}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w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rainage" hidden="1">#REF!</definedName>
    <definedName name="drytytuyu" hidden="1">{#N/A,#N/A,TRUE,"Cover";#N/A,#N/A,TRUE,"Conts";#N/A,#N/A,TRUE,"VOS";#N/A,#N/A,TRUE,"Warrington";#N/A,#N/A,TRUE,"Widnes"}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adaD" hidden="1">{#N/A,#N/A,FALSE,"COVER1.XLS ";#N/A,#N/A,FALSE,"RACT1.XLS";#N/A,#N/A,FALSE,"RACT2.XLS";#N/A,#N/A,FALSE,"ECCMP";#N/A,#N/A,FALSE,"WELDER.XLS"}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{#N/A,#N/A,FALSE,"견적대비-2"}</definedName>
    <definedName name="dsds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j" hidden="1">#REF!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ueuuiyj" hidden="1">{#N/A,#N/A,TRUE,"Cover";#N/A,#N/A,TRUE,"Conts";#N/A,#N/A,TRUE,"VOS";#N/A,#N/A,TRUE,"Warrington";#N/A,#N/A,TRUE,"Widnes"}</definedName>
    <definedName name="dv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VRWBV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VV" hidden="1">#REF!</definedName>
    <definedName name="dwgy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4tae" hidden="1">{#N/A,#N/A,FALSE,"VARIATIONS";#N/A,#N/A,FALSE,"BUDGET";#N/A,#N/A,FALSE,"CIVIL QNTY VAR";#N/A,#N/A,FALSE,"SUMMARY";#N/A,#N/A,FALSE,"MATERIAL VAR"}</definedName>
    <definedName name="eagrga" hidden="1">{#N/A,#N/A,TRUE,"Cover";#N/A,#N/A,TRUE,"Conts";#N/A,#N/A,TRUE,"VOS";#N/A,#N/A,TRUE,"Warrington";#N/A,#N/A,TRUE,"Widnes"}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it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eeee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E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S" hidden="1">{#N/A,#N/A,FALSE,"VARIATIONS";#N/A,#N/A,FALSE,"BUDGET";#N/A,#N/A,FALSE,"CIVIL QNTY VAR";#N/A,#N/A,FALSE,"SUMMARY";#N/A,#N/A,FALSE,"MATERIAL VAR"}</definedName>
    <definedName name="egag" hidden="1">{#N/A,#N/A,TRUE,"Cover";#N/A,#N/A,TRUE,"Conts";#N/A,#N/A,TRUE,"VOS";#N/A,#N/A,TRUE,"Warrington";#N/A,#N/A,TRUE,"Widnes"}</definedName>
    <definedName name="ejl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End_Bal">#REF!</definedName>
    <definedName name="erataee" hidden="1">{#N/A,#N/A,FALSE,"VARIATIONS";#N/A,#N/A,FALSE,"BUDGET";#N/A,#N/A,FALSE,"CIVIL QNTY VAR";#N/A,#N/A,FALSE,"SUMMARY";#N/A,#N/A,FALSE,"MATERIAL VAR"}</definedName>
    <definedName name="er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ertertyt" hidden="1">{#N/A,#N/A,TRUE,"Flooring 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f" hidden="1">{#N/A,#N/A,FALSE,"VARIATIONS";#N/A,#N/A,FALSE,"BUDGET";#N/A,#N/A,FALSE,"CIVIL QNTY VAR";#N/A,#N/A,FALSE,"SUMMARY";#N/A,#N/A,FALSE,"MATERIAL VAR"}</definedName>
    <definedName name="ertr66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aeta" hidden="1">{#N/A,#N/A,FALSE,"VARIATIONS";#N/A,#N/A,FALSE,"BUDGET";#N/A,#N/A,FALSE,"CIVIL QNTY VAR";#N/A,#N/A,FALSE,"SUMMARY";#N/A,#N/A,FALSE,"MATERIAL VAR"}</definedName>
    <definedName name="ETBHY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.07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REWE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el_BuiltIn_Print_Area_1_3">"#REF!"</definedName>
    <definedName name="Excel_BuiltIn_Print_Area_1_4">"#REF!"</definedName>
    <definedName name="Excel_BuiltIn_Print_Area_1_5">"#REF!"</definedName>
    <definedName name="eyy" hidden="1">{#N/A,#N/A,TRUE,"Cover";#N/A,#N/A,TRUE,"Conts";#N/A,#N/A,TRUE,"VOS";#N/A,#N/A,TRUE,"Warrington";#N/A,#N/A,TRUE,"Widnes"}</definedName>
    <definedName name="EZE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all" hidden="1">#REF!</definedName>
    <definedName name="FB" hidden="1">#REF!</definedName>
    <definedName name="FC" hidden="1">{#N/A,#N/A,FALSE,"gc (2)"}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Code" hidden="1">#REF!</definedName>
    <definedName name="fd" hidden="1">{"'Sheet1'!$A$4386:$N$4591"}</definedName>
    <definedName name="fdcvgfty" hidden="1">#REF!</definedName>
    <definedName name="fdfhhhhhhhhhhhhhhh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geg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egegh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e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fff" hidden="1">{#N/A,#N/A,FALSE,"VARIATIONS";#N/A,#N/A,FALSE,"BUDGET";#N/A,#N/A,FALSE,"CIVIL QNTY VAR";#N/A,#N/A,FALSE,"SUMMARY";#N/A,#N/A,FALSE,"MATERIAL VAR"}</definedName>
    <definedName name="ffffffffffff" hidden="1">#REF!</definedName>
    <definedName name="ffhy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tt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u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DGB" hidden="1">#REF!</definedName>
    <definedName name="fgfdg" hidden="1">#REF!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jsjs" hidden="1">{#N/A,#N/A,TRUE,"Cover";#N/A,#N/A,TRUE,"Conts";#N/A,#N/A,TRUE,"VOS";#N/A,#N/A,TRUE,"Warrington";#N/A,#N/A,TRUE,"Widnes"}</definedName>
    <definedName name="fil" hidden="1">#REF!</definedName>
    <definedName name="File.Type" hidden="1">#REF!</definedName>
    <definedName name="FILLL" hidden="1">#N/A</definedName>
    <definedName name="fkfkvhikkhju" hidden="1">{#N/A,#N/A,TRUE,"Cover";#N/A,#N/A,TRUE,"Conts";#N/A,#N/A,TRUE,"VOS";#N/A,#N/A,TRUE,"Warrington";#N/A,#N/A,TRUE,"Widnes"}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X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QWFF" hidden="1">#REF!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THGFRT" hidden="1">#REF!</definedName>
    <definedName name="frjj" hidden="1">{#N/A,#N/A,TRUE,"Cover";#N/A,#N/A,TRUE,"Conts";#N/A,#N/A,TRUE,"VOS";#N/A,#N/A,TRUE,"Warrington";#N/A,#N/A,TRUE,"Widnes"}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" hidden="1">{#N/A,#N/A,FALSE,"mgtsum.XLS";#N/A,#N/A,FALSE,"CAPONE";#N/A,#N/A,FALSE,"CAPTWO";#N/A,#N/A,FALSE,"CAPTHREE"}</definedName>
    <definedName name="fsdf" hidden="1">#REF!</definedName>
    <definedName name="fsds" hidden="1">{#N/A,#N/A,FALSE,"mgtsum.XLS";#N/A,#N/A,FALSE,"CAPONE";#N/A,#N/A,FALSE,"CAPTWO";#N/A,#N/A,FALSE,"CAPTHREE"}</definedName>
    <definedName name="FTCFDYF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ull_Print">#REF!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" hidden="1">{"'Sheet1'!$A$4386:$N$4591"}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bvcx" hidden="1">{"'Sheet1'!$A$4386:$N$4591"}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rg" hidden="1">#REF!</definedName>
    <definedName name="gftt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gggg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gggggggggggg" hidden="1">#REF!</definedName>
    <definedName name="gggggggggggggggggggggggggggggggg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gggggggggggggggggggggggggggggggggg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.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j" hidden="1">{#N/A,#N/A,FALSE,"gc (2)"}</definedName>
    <definedName name="ghoo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oo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lbalances_1" hidden="1">{#N/A,#N/A,FALSE,"Aging Summary";#N/A,#N/A,FALSE,"Ratio Analysis";#N/A,#N/A,FALSE,"Test 120 Day Accts";#N/A,#N/A,FALSE,"Tickmarks"}</definedName>
    <definedName name="GMN" hidden="1">{"'Sheet1'!$A$4386:$N$4591"}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REE" hidden="1">#REF!</definedName>
    <definedName name="grewgrhj" hidden="1">#REF!</definedName>
    <definedName name="groov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re" hidden="1">#REF!</definedName>
    <definedName name="g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a" hidden="1">{#N/A,#N/A,FALSE,"견적대비-2"}</definedName>
    <definedName name="GT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rghr" hidden="1">{#N/A,#N/A,TRUE,"Cover";#N/A,#N/A,TRUE,"Conts";#N/A,#N/A,TRUE,"VOS";#N/A,#N/A,TRUE,"Warrington";#N/A,#N/A,TRUE,"Widnes"}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w" hidden="1">#REF!</definedName>
    <definedName name="gwgtergyr" hidden="1">{#N/A,#N/A,TRUE,"Cover";#N/A,#N/A,TRUE,"Conts";#N/A,#N/A,TRUE,"VOS";#N/A,#N/A,TRUE,"Warrington";#N/A,#N/A,TRUE,"Widnes"}</definedName>
    <definedName name="gwgw" hidden="1">#REF!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" hidden="1">{"'Sheet1'!$A$4386:$N$4591"}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p" hidden="1">{#N/A,#N/A,FALSE,"COVER1.XLS ";#N/A,#N/A,FALSE,"RACT1.XLS";#N/A,#N/A,FALSE,"RACT2.XLS";#N/A,#N/A,FALSE,"ECCMP";#N/A,#N/A,FALSE,"WELDER.XLS"}</definedName>
    <definedName name="Header_Row">ROW(#REF!)</definedName>
    <definedName name="HFDB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gf" hidden="1">{#N/A,#N/A,TRUE,"Cover";#N/A,#N/A,TRUE,"Conts";#N/A,#N/A,TRUE,"VOS";#N/A,#N/A,TRUE,"Warrington";#N/A,#N/A,TRUE,"Widnes"}</definedName>
    <definedName name="hf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hgjgj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g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hgghh">#N/A</definedName>
    <definedName name="hhhhhhhhhhhhh" hidden="1">{"'Sheet1'!$A$4386:$N$4591"}</definedName>
    <definedName name="hh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iddenRows" hidden="1">#REF!</definedName>
    <definedName name="hjdj" hidden="1">{#N/A,#N/A,TRUE,"Cover";#N/A,#N/A,TRUE,"Conts";#N/A,#N/A,TRUE,"VOS";#N/A,#N/A,TRUE,"Warrington";#N/A,#N/A,TRUE,"Widnes"}</definedName>
    <definedName name="hjuj" hidden="1">#REF!</definedName>
    <definedName name="hkjsa" hidden="1">#REF!</definedName>
    <definedName name="How_many_floors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{"'Sheet1'!$A$4386:$N$4591"}</definedName>
    <definedName name="HTML_Description" hidden="1">""</definedName>
    <definedName name="HTML_Email" hidden="1">""</definedName>
    <definedName name="HTML_Header" hidden="1">"Sheet1"</definedName>
    <definedName name="HTML_LastUpdate" hidden="1">"7/1/03"</definedName>
    <definedName name="HTML_LineAfter" hidden="1">FALSE</definedName>
    <definedName name="HTML_LineBefore" hidden="1">FALSE</definedName>
    <definedName name="HTML_Name" hidden="1">"m.p.raval"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"SGSDaily Progress Report Piyaj toDharoi Pipeline"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Count" hidden="1">1</definedName>
    <definedName name="htrhrsth" hidden="1">{#N/A,#N/A,TRUE,"Cover";#N/A,#N/A,TRUE,"Conts";#N/A,#N/A,TRUE,"VOS";#N/A,#N/A,TRUE,"Warrington";#N/A,#N/A,TRUE,"Widnes"}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tgfru" hidden="1">{#N/A,#N/A,TRUE,"Cover";#N/A,#N/A,TRUE,"Conts";#N/A,#N/A,TRUE,"VOS";#N/A,#N/A,TRUE,"Warrington";#N/A,#N/A,TRUE,"Widnes"}</definedName>
    <definedName name="hu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g" hidden="1">#REF!</definedName>
    <definedName name="hyj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8uiuyi" hidden="1">{#N/A,#N/A,TRUE,"Cover";#N/A,#N/A,TRUE,"Conts";#N/A,#N/A,TRUE,"VOS";#N/A,#N/A,TRUE,"Warrington";#N/A,#N/A,TRUE,"Widnes"}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iot" hidden="1">{"dep. full detail",#N/A,FALSE,"annex";"3cd annex",#N/A,FALSE,"annex";"co. dep.",#N/A,FALSE,"annex"}</definedName>
    <definedName name="iiii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In" hidden="1">{#N/A,#N/A,FALSE,"gc (2)"}</definedName>
    <definedName name="Incurr" hidden="1">{#N/A,#N/A,FALSE,"gc (2)"}</definedName>
    <definedName name="INFra" hidden="1">{#N/A,#N/A,FALSE,"VARIATIONS";#N/A,#N/A,FALSE,"BUDGET";#N/A,#N/A,FALSE,"CIVIL QNTY VAR";#N/A,#N/A,FALSE,"SUMMARY";#N/A,#N/A,FALSE,"MATERIAL VAR"}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est_Rate">#REF!</definedName>
    <definedName name="io8yuou8y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38769.4310532407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i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ay" hidden="1">{#N/A,#N/A,FALSE,"gc (2)"}</definedName>
    <definedName name="jc" hidden="1">{#N/A,#N/A,TRUE,"Flooring "}</definedName>
    <definedName name="JGHJJ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gp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hdjhd" hidden="1">{"Bsheet",#N/A,FALSE,"Details";"P&amp;l",#N/A,FALSE,"Details";"Schedule",#N/A,FALSE,"Details";"Details",#N/A,FALSE,"Details";"Annexue II",#N/A,FALSE,"Details";"Branch Bs",#N/A,FALSE,"Details";"Branch PL",#N/A,FALSE,"Details"}</definedName>
    <definedName name="jitus1">#N/A</definedName>
    <definedName name="jjjjj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jjjjjjjjjjjjjjjjjjjjjjjj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jjjjjjjjjjjjjjjjjjjjjjjjjjjjjjjjjjj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k.j.oi" hidden="1">{#N/A,#N/A,TRUE,"Cover";#N/A,#N/A,TRUE,"Conts";#N/A,#N/A,TRUE,"VOS";#N/A,#N/A,TRUE,"Warrington";#N/A,#N/A,TRUE,"Widnes"}</definedName>
    <definedName name="jkgkgjk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RI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tjtj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tyhjswjy" hidden="1">{#N/A,#N/A,TRUE,"Cover";#N/A,#N/A,TRUE,"Conts";#N/A,#N/A,TRUE,"VOS";#N/A,#N/A,TRUE,"Warrington";#N/A,#N/A,TRUE,"Widnes"}</definedName>
    <definedName name="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W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#REF!</definedName>
    <definedName name="kad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rthi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jfgjgj" hidden="1">{#N/A,#N/A,TRUE,"Cover";#N/A,#N/A,TRUE,"Conts";#N/A,#N/A,TRUE,"VOS";#N/A,#N/A,TRUE,"Warrington";#N/A,#N/A,TRUE,"Widnes"}</definedName>
    <definedName name="k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" hidden="1">#REF!</definedName>
    <definedName name="k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jh">#N/A</definedName>
    <definedName name="kk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KLD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ndhwa.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Kondhwa_Div" hidden="1">{#N/A,#N/A,FALSE,"Occ and Rate";#N/A,#N/A,FALSE,"PF Input";#N/A,#N/A,FALSE,"Capital Input";#N/A,#N/A,FALSE,"Proforma Five Yr";#N/A,#N/A,FALSE,"Calculations";#N/A,#N/A,FALSE,"Transaction Summary-DTW"}</definedName>
    <definedName name="Kondhwa_O" hidden="1">{#N/A,#N/A,FALSE,"New Depr Sch-150% DB";#N/A,#N/A,FALSE,"Cash Flows RLP";#N/A,#N/A,FALSE,"IRR";#N/A,#N/A,FALSE,"Proforma IS";#N/A,#N/A,FALSE,"Assumptions"}</definedName>
    <definedName name="Kondhwa_wrn.Aging._.and._.Trend._.Analysis." hidden="1">{#N/A,#N/A,FALSE,"Aging Summary";#N/A,#N/A,FALSE,"Ratio Analysis";#N/A,#N/A,FALSE,"Test 120 Day Accts";#N/A,#N/A,FALSE,"Tickmarks"}</definedName>
    <definedName name="Kondhwa_wrn.ALL.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ondhwa_wrn.Basic._.Report." hidden="1">{#N/A,#N/A,FALSE,"New Depr Sch-150% DB";#N/A,#N/A,FALSE,"Cash Flows RLP";#N/A,#N/A,FALSE,"IRR";#N/A,#N/A,FALSE,"Proforma IS";#N/A,#N/A,FALSE,"Assumptions"}</definedName>
    <definedName name="Kondhwa_wrn.Complete._.Report." hidden="1">{#N/A,#N/A,FALSE,"Assumptions";#N/A,#N/A,FALSE,"Proforma IS";#N/A,#N/A,FALSE,"Cash Flows RLP";#N/A,#N/A,FALSE,"IRR";#N/A,#N/A,FALSE,"New Depr Sch-150% DB";#N/A,#N/A,FALSE,"Comments"}</definedName>
    <definedName name="Kondhwa_wrn.Complete._.Review." hidden="1">{#N/A,#N/A,FALSE,"Occ and Rate";#N/A,#N/A,FALSE,"PF Input";#N/A,#N/A,FALSE,"Capital Input";#N/A,#N/A,FALSE,"Proforma Five Yr";#N/A,#N/A,FALSE,"Calculations";#N/A,#N/A,FALSE,"Transaction Summary-DTW"}</definedName>
    <definedName name="Kondhwa_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Kondhwa_wrn.Investment._.Review." hidden="1">{#N/A,#N/A,FALSE,"Proforma Five Yr";#N/A,#N/A,FALSE,"Capital Input";#N/A,#N/A,FALSE,"Calculations";#N/A,#N/A,FALSE,"Transaction Summary-DTW"}</definedName>
    <definedName name="Kondhwa_wrn.Operation._.Review." hidden="1">{#N/A,#N/A,FALSE,"Proforma Five Yr";#N/A,#N/A,FALSE,"Occ and Rate";#N/A,#N/A,FALSE,"PF Input";#N/A,#N/A,FALSE,"Hotcomps"}</definedName>
    <definedName name="Kondhwa_wrn.Phase._.I." hidden="1">{#N/A,#N/A,FALSE,"Transaction Summary-DTW";#N/A,#N/A,FALSE,"Proforma Five Yr";#N/A,#N/A,FALSE,"Occ and Rate"}</definedName>
    <definedName name="Kondhwa_wrn.print" hidden="1">{#N/A,#N/A,FALSE,"Japan 2003";#N/A,#N/A,FALSE,"Sheet2"}</definedName>
    <definedName name="Kondhwa_wrn.Proforma._.Review" hidden="1">{#N/A,#N/A,FALSE,"Occ and Rate";#N/A,#N/A,FALSE,"PF Input";#N/A,#N/A,FALSE,"Proforma Five Yr";#N/A,#N/A,FALSE,"Hotcomps"}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yk" hidden="1">{#N/A,#N/A,TRUE,"Cover";#N/A,#N/A,TRUE,"Conts";#N/A,#N/A,TRUE,"VOS";#N/A,#N/A,TRUE,"Warrington";#N/A,#N/A,TRUE,"Widnes"}</definedName>
    <definedName name="KSIJWD" hidden="1">{#N/A,#N/A,FALSE,"견적대비-2"}</definedName>
    <definedName name="kskk" hidden="1">{#N/A,#N/A,FALSE,"COVER.XLS";#N/A,#N/A,FALSE,"RACT1.XLS";#N/A,#N/A,FALSE,"RACT2.XLS";#N/A,#N/A,FALSE,"ECCMP";#N/A,#N/A,FALSE,"WELDER.XLS"}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yd.ChngCell.01." hidden="1">#REF!</definedName>
    <definedName name="kyd.ChngCell.01.BKC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List01.BKC" hidden="1">#REF!</definedName>
    <definedName name="kyd.ElementType.01." hidden="1">1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1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KYSTH" hidden="1">{#N/A,#N/A,TRUE,"Cover";#N/A,#N/A,TRUE,"Conts";#N/A,#N/A,TRUE,"VOS";#N/A,#N/A,TRUE,"Warrington";#N/A,#N/A,TRUE,"Widnes"}</definedName>
    <definedName name="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A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ast_Row">#N/A</definedName>
    <definedName name="lgoguliu" hidden="1">{#N/A,#N/A,TRUE,"Cover";#N/A,#N/A,TRUE,"Conts";#N/A,#N/A,TRUE,"VOS";#N/A,#N/A,TRUE,"Warrington";#N/A,#N/A,TRUE,"Widnes"}</definedName>
    <definedName name="limcount" hidden="1">1</definedName>
    <definedName name="ListOffset" hidden="1">1</definedName>
    <definedName name="ljkㅏㅎ" hidden="1">{#N/A,#N/A,FALSE,"2~8번"}</definedName>
    <definedName name="lk" hidden="1">{#N/A,#N/A,FALSE,"mgtsum.XLS";#N/A,#N/A,FALSE,"CAPONE";#N/A,#N/A,FALSE,"CAPTWO";#N/A,#N/A,FALSE,"CAPTHREE"}</definedName>
    <definedName name="l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ALA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FLL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o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oan_Amount">#REF!</definedName>
    <definedName name="Loan_Start">#REF!</definedName>
    <definedName name="Loan_Years">#REF!</definedName>
    <definedName name="Location">#REF!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k" hidden="1">#REF!</definedName>
    <definedName name="manoj" hidden="1">{"'Sheet1'!$A$4386:$N$4591"}</definedName>
    <definedName name="m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CBDB" hidden="1">{#N/A,#N/A,FALSE,"mpph1";#N/A,#N/A,FALSE,"mpmseb";#N/A,#N/A,FALSE,"mpph2"}</definedName>
    <definedName name="me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t" hidden="1">{#N/A,#N/A,FALSE,"VARIATIONS";#N/A,#N/A,FALSE,"BUDGET";#N/A,#N/A,FALSE,"CIVIL QNTY VAR";#N/A,#N/A,FALSE,"SUMMARY";#N/A,#N/A,FALSE,"MATERIAL VAR"}</definedName>
    <definedName name="mldl" hidden="1">{#N/A,#N/A,FALSE,"VARIATIONS";#N/A,#N/A,FALSE,"BUDGET";#N/A,#N/A,FALSE,"CIVIL QNTY VAR";#N/A,#N/A,FALSE,"SUMMARY";#N/A,#N/A,FALSE,"MATERIAL VAR"}</definedName>
    <definedName name="mmmiii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mmmmm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mm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mmmmmmmm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hidden="1">{#N/A,#N/A,TRUE,"Financials";#N/A,#N/A,TRUE,"Operating Statistics";#N/A,#N/A,TRUE,"Capex &amp; Depreciation";#N/A,#N/A,TRUE,"Debt"}</definedName>
    <definedName name="Mullio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mb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ME" hidden="1">{#N/A,#N/A,FALSE,"CCTV"}</definedName>
    <definedName name="nharac" hidden="1">{#N/A,#N/A,FALSE,"Chi tiÆt"}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mui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nnn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nnnnn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nnnnnnnnnnnnnnnnnnnnnnnnnnnnn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nol" hidden="1">{#N/A,#N/A,FALSE,"91NOLCB";#N/A,#N/A,FALSE,"92NOLCB";#N/A,#N/A,FALSE,"93NOLCB"}</definedName>
    <definedName name="NONDSR_ITEM_1">"#REF!"</definedName>
    <definedName name="NONDSR_ITEM_2">"#REF!"</definedName>
    <definedName name="NONDSR_ITEM_3">"#REF!"</definedName>
    <definedName name="NONDSR_ITEM_4">"#REF!"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YTR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9u0piupi" hidden="1">{#N/A,#N/A,TRUE,"Cover";#N/A,#N/A,TRUE,"Conts";#N/A,#N/A,TRUE,"VOS";#N/A,#N/A,TRUE,"Warrington";#N/A,#N/A,TRUE,"Widnes"}</definedName>
    <definedName name="oiy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ay" hidden="1">{#N/A,#N/A,FALSE,"mgtsum.XLS";#N/A,#N/A,FALSE,"CAPONE";#N/A,#N/A,FALSE,"CAPTWO";#N/A,#N/A,FALSE,"CAPTHREE"}</definedName>
    <definedName name="old_cbay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5.1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9.1" hidden="1">{#N/A,#N/A,FALSE,"Income";#N/A,#N/A,FALSE,"Cost of Goods Sold";#N/A,#N/A,FALSE,"Other Costs";#N/A,#N/A,FALSE,"Other Income";#N/A,#N/A,FALSE,"Taxes";#N/A,#N/A,FALSE,"Other Deductions";#N/A,#N/A,FALSE,"Compensation of Officers"}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ooo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oooooooo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ooooooooooooo" hidden="1">{"'Sheet1'!$A$4386:$N$4591"}</definedName>
    <definedName name="oop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OrderTable" hidden="1">#REF!</definedName>
    <definedName name="O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a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fegseg" hidden="1">{#N/A,#N/A,TRUE,"Cover";#N/A,#N/A,TRUE,"Conts";#N/A,#N/A,TRUE,"VOS";#N/A,#N/A,TRUE,"Warrington";#N/A,#N/A,TRUE,"Widnes"}</definedName>
    <definedName name="Pal_Workbook_GUID" hidden="1">"8C9FWPDC58HV91KMPNBD5P58"</definedName>
    <definedName name="parse" hidden="1">#REF!</definedName>
    <definedName name="pccm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k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dium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podium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pp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l" hidden="1">{#N/A,#N/A,FALSE,"gc (2)"}</definedName>
    <definedName name="pppppp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ppppppppppppppppppppppppppppppppppp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prelimnari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Print_Area" localSheetId="0">'MB-1'!$A$1:$J$279</definedName>
    <definedName name="_xlnm.Print_Area">#REF!</definedName>
    <definedName name="_xlnm.Print_Titles" localSheetId="0">'MB-1'!$5:$5</definedName>
    <definedName name="_xlnm.Print_Titles">#N/A</definedName>
    <definedName name="ProdForm" hidden="1">#REF!</definedName>
    <definedName name="Product" hidden="1">#REF!</definedName>
    <definedName name="profit" hidden="1">{#N/A,"Good",TRUE,"Sheet1";#N/A,"Normal",TRUE,"Sheet1";#N/A,"Bad",TRUE,"Sheet1"}</definedName>
    <definedName name="Prov" hidden="1">{"A.I.s",#N/A,TRUE,"Architects Instructions"}</definedName>
    <definedName name="pswyry" hidden="1">{#N/A,#N/A,TRUE,"Cover";#N/A,#N/A,TRUE,"Conts";#N/A,#N/A,TRUE,"VOS";#N/A,#N/A,TRUE,"Warrington";#N/A,#N/A,TRUE,"Widnes"}</definedName>
    <definedName name="PUB_FileID" hidden="1">"L10003363.xls"</definedName>
    <definedName name="PUB_UserID" hidden="1">"MAYERX"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d10_gt" hidden="1">{"'Sheet1'!$L$16"}</definedName>
    <definedName name="qq" hidden="1">{#N/A,#N/A,FALSE,"단가표지"}</definedName>
    <definedName name="QQQQQ" hidden="1">#N/A</definedName>
    <definedName name="qqqqqq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qqqqqqqqqqqqqqqqqqqqqqqqqqqqqqqqqqqqqqqqqq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y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qrt" hidden="1">{#N/A,#N/A,TRUE,"Cover";#N/A,#N/A,TRUE,"Conts";#N/A,#N/A,TRUE,"VOS";#N/A,#N/A,TRUE,"Warrington";#N/A,#N/A,TRUE,"Widnes"}</definedName>
    <definedName name="Q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w" hidden="1">{#N/A,#N/A,FALSE,"단가표지"}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CDFGV" hidden="1">#REF!</definedName>
    <definedName name="qws" hidden="1">#REF!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ff" hidden="1">{#N/A,#N/A,FALSE,"Fund-II"}</definedName>
    <definedName name="Raj" hidden="1">{"'Sheet1'!$A$4386:$N$4591"}</definedName>
    <definedName name="ram" hidden="1">{"dep. full detail",#N/A,FALSE,"annex";"3cd annex",#N/A,FALSE,"annex";"co. dep.",#N/A,FALSE,"annex"}</definedName>
    <definedName name="rasgg" hidden="1">{#N/A,#N/A,TRUE,"Cover";#N/A,#N/A,TRUE,"Conts";#N/A,#N/A,TRUE,"VOS";#N/A,#N/A,TRUE,"Warrington";#N/A,#N/A,TRUE,"Widnes"}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CArea" hidden="1">#REF!</definedName>
    <definedName name="rdegsegrg" hidden="1">{#N/A,#N/A,TRUE,"Cover";#N/A,#N/A,TRUE,"Conts";#N/A,#N/A,TRUE,"VOS";#N/A,#N/A,TRUE,"Warrington";#N/A,#N/A,TRUE,"Widnes"}</definedName>
    <definedName name="RDN" hidden="1">{#N/A,#N/A,FALSE,"COVER.XLS";#N/A,#N/A,FALSE,"RACT1.XLS";#N/A,#N/A,FALSE,"RACT2.XLS";#N/A,#N/A,FALSE,"ECCMP";#N/A,#N/A,FALSE,"WELDER.XLS"}</definedName>
    <definedName name="recon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con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xlnm.Recorder">#REF!</definedName>
    <definedName name="REG5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ional" hidden="1">{#N/A,#N/A,FALSE,"mgtsum.XLS";#N/A,#N/A,FALSE,"CAPONE";#N/A,#N/A,FALSE,"CAPTWO";#N/A,#N/A,FALSE,"CAPTHREE"}</definedName>
    <definedName name="re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enam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r" hidden="1">{#N/A,#N/A,TRUE,"Cover";#N/A,#N/A,TRUE,"Conts";#N/A,#N/A,TRUE,"VOS";#N/A,#N/A,TRUE,"Warrington";#N/A,#N/A,TRUE,"Widnes"}</definedName>
    <definedName name="rerte" hidden="1">{#N/A,#N/A,FALSE,"VARIATIONS";#N/A,#N/A,FALSE,"BUDGET";#N/A,#N/A,FALSE,"CIVIL QNTY VAR";#N/A,#N/A,FALSE,"SUMMARY";#N/A,#N/A,FALSE,"MATERIAL VAR"}</definedName>
    <definedName name="res_sum" hidden="1">{#N/A,#N/A,FALSE,"COVER1.XLS ";#N/A,#N/A,FALSE,"RACT1.XLS";#N/A,#N/A,FALSE,"RACT2.XLS";#N/A,#N/A,FALSE,"ECCMP";#N/A,#N/A,FALSE,"WELDER.XLS"}</definedName>
    <definedName name="reu" hidden="1">{#N/A,#N/A,FALSE,"gc (2)"}</definedName>
    <definedName name="reuse" hidden="1">{#N/A,#N/A,FALSE,"mgtsum.XLS";#N/A,#N/A,FALSE,"CAPONE";#N/A,#N/A,FALSE,"CAPTWO";#N/A,#N/A,FALSE,"CAPTHREE"}</definedName>
    <definedName name="review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ya" hidden="1">{"office ltcg",#N/A,FALSE,"gain01";"IT LTCG",#N/A,FALSE,"gain01"}</definedName>
    <definedName name="rghhythy" hidden="1">{#N/A,#N/A,TRUE,"Cover";#N/A,#N/A,TRUE,"Conts";#N/A,#N/A,TRUE,"VOS";#N/A,#N/A,TRUE,"Warrington";#N/A,#N/A,TRUE,"Widnes"}</definedName>
    <definedName name="rghsret" hidden="1">{#N/A,#N/A,FALSE,"VARIATIONS";#N/A,#N/A,FALSE,"BUDGET";#N/A,#N/A,FALSE,"CIVIL QNTY VAR";#N/A,#N/A,FALSE,"SUMMARY";#N/A,#N/A,FALSE,"MATERIAL VAR"}</definedName>
    <definedName name="rgrtae" hidden="1">{#N/A,#N/A,FALSE,"VARIATIONS";#N/A,#N/A,FALSE,"BUDGET";#N/A,#N/A,FALSE,"CIVIL QNTY VAR";#N/A,#N/A,FALSE,"SUMMARY";#N/A,#N/A,FALSE,"MATERIAL VAR"}</definedName>
    <definedName name="rhyuyi" hidden="1">{#N/A,#N/A,TRUE,"Cover";#N/A,#N/A,TRUE,"Conts";#N/A,#N/A,TRUE,"VOS";#N/A,#N/A,TRUE,"Warrington";#N/A,#N/A,TRUE,"Widnes"}</definedName>
    <definedName name="ripal" hidden="1">{#N/A,#N/A,FALSE,"gc (2)"}</definedName>
    <definedName name="riri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tu" hidden="1">#REF!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" hidden="1">{#N/A,#N/A,FALSE,"VARIATIONS";#N/A,#N/A,FALSE,"BUDGET";#N/A,#N/A,FALSE,"CIVIL QNTY VAR";#N/A,#N/A,FALSE,"SUMMARY";#N/A,#N/A,FALSE,"MATERIAL VAR"}</definedName>
    <definedName name="rrrr" hidden="1">{#N/A,#N/A,FALSE,"VARIATIONS";#N/A,#N/A,FALSE,"BUDGET";#N/A,#N/A,FALSE,"CIVIL QNTY VAR";#N/A,#N/A,FALSE,"SUMMARY";#N/A,#N/A,FALSE,"MATERIAL VAR"}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rrrrrrrrrrrrrrrrrrrrrrrrrrrrrrrrrrrrrrr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t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t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tt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T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sde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G" hidden="1">#REF!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ry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y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tyt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re" hidden="1">{#N/A,#N/A,FALSE,"COVER1.XLS ";#N/A,#N/A,FALSE,"RACT1.XLS";#N/A,#N/A,FALSE,"RACT2.XLS";#N/A,#N/A,FALSE,"ECCMP";#N/A,#N/A,FALSE,"WELDER.XLS"}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rt" hidden="1">{#N/A,#N/A,FALSE,"VARIATIONS";#N/A,#N/A,FALSE,"BUDGET";#N/A,#N/A,FALSE,"CIVIL QNTY VAR";#N/A,#N/A,FALSE,"SUMMARY";#N/A,#N/A,FALSE,"MATERIAL VAR"}</definedName>
    <definedName name="rysrt" hidden="1">{#N/A,#N/A,FALSE,"VARIATIONS";#N/A,#N/A,FALSE,"BUDGET";#N/A,#N/A,FALSE,"CIVIL QNTY VAR";#N/A,#N/A,FALSE,"SUMMARY";#N/A,#N/A,FALSE,"MATERIAL VAR"}</definedName>
    <definedName name="rysrtryftry" hidden="1">{#N/A,#N/A,TRUE,"Cover";#N/A,#N/A,TRUE,"Conts";#N/A,#N/A,TRUE,"VOS";#N/A,#N/A,TRUE,"Warrington";#N/A,#N/A,TRUE,"Widnes"}</definedName>
    <definedName name="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dfdasf" hidden="1">#REF!</definedName>
    <definedName name="SAFSF" hidden="1">{#N/A,#N/A,FALSE,"mgtsum.XLS";#N/A,#N/A,FALSE,"CAPONE";#N/A,#N/A,FALSE,"CAPTWO";#N/A,#N/A,FALSE,"CAPTHREE"}</definedName>
    <definedName name="sagdhag" hidden="1">{#N/A,#N/A,FALSE,"COVER1.XLS ";#N/A,#N/A,FALSE,"RACT1.XLS";#N/A,#N/A,FALSE,"RACT2.XLS";#N/A,#N/A,FALSE,"ECCMP";#N/A,#N/A,FALSE,"WELDER.XLS"}</definedName>
    <definedName name="sanju" hidden="1">{"office ltcg",#N/A,FALSE,"gain01";"IT LTCG",#N/A,FALSE,"gain01"}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ffolding" hidden="1">#REF!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OTT" hidden="1">{"wwww",#N/A,FALSE,"Final_ RATE ANALYSIS "}</definedName>
    <definedName name="scottt" hidden="1">{"wwww",#N/A,FALSE,"Final_ RATE ANALYSIS "}</definedName>
    <definedName name="SCRE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" hidden="1">#REF!</definedName>
    <definedName name="sdad" hidden="1">#N/A</definedName>
    <definedName name="SDAF" hidden="1">{#N/A,#N/A,FALSE,"mgtsum.XLS";#N/A,#N/A,FALSE,"CAPONE";#N/A,#N/A,FALSE,"CAPTWO";#N/A,#N/A,FALSE,"CAPTHREE"}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ggrt" hidden="1">#REF!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efegdeg" hidden="1">{#N/A,#N/A,TRUE,"Cover";#N/A,#N/A,TRUE,"Conts";#N/A,#N/A,TRUE,"VOS";#N/A,#N/A,TRUE,"Warrington";#N/A,#N/A,TRUE,"Widnes"}</definedName>
    <definedName name="sderftg" hidden="1">#REF!</definedName>
    <definedName name="sdf" hidden="1">{#N/A,#N/A,FALSE,"mgtsum.XLS";#N/A,#N/A,FALSE,"CAPONE";#N/A,#N/A,FALSE,"CAPTWO";#N/A,#N/A,FALSE,"CAPTHREE"}</definedName>
    <definedName name="sdgdg" hidden="1">#REF!</definedName>
    <definedName name="sdggggggggggsdgsdgasdgsd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hydfyftuu" hidden="1">{#N/A,#N/A,TRUE,"Cover";#N/A,#N/A,TRUE,"Conts";#N/A,#N/A,TRUE,"VOS";#N/A,#N/A,TRUE,"Warrington";#N/A,#N/A,TRUE,"Widnes"}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s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sdsds" hidden="1">{#N/A,#N/A,FALSE,"견적대비-2"}</definedName>
    <definedName name="sdsd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hat" hidden="1">{#N/A,#N/A,FALSE,"REK-S-TPL";#N/A,#N/A,FALSE,"REK-TPML";#N/A,#N/A,FALSE,"RAB-TEMPEL"}</definedName>
    <definedName name="sehat1" hidden="1">{#N/A,#N/A,FALSE,"REK";#N/A,#N/A,FALSE,"rab"}</definedName>
    <definedName name="sencount" hidden="1">1</definedName>
    <definedName name="setdydy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grg" hidden="1">#REF!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hshgtr" hidden="1">{#N/A,#N/A,TRUE,"Cover";#N/A,#N/A,TRUE,"Conts";#N/A,#N/A,TRUE,"VOS";#N/A,#N/A,TRUE,"Warrington";#N/A,#N/A,TRUE,"Widnes"}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asia" hidden="1">#REF!</definedName>
    <definedName name="soo" hidden="1">#REF!</definedName>
    <definedName name="SpecialPrice" hidden="1">#REF!</definedName>
    <definedName name="spp" hidden="1">#REF!</definedName>
    <definedName name="SRB" hidden="1">{"'Sheet1'!$A$4386:$N$4591"}</definedName>
    <definedName name="srhrh" hidden="1">{#N/A,#N/A,TRUE,"Cover";#N/A,#N/A,TRUE,"Conts";#N/A,#N/A,TRUE,"VOS";#N/A,#N/A,TRUE,"Warrington";#N/A,#N/A,TRUE,"Widnes"}</definedName>
    <definedName name="SRN" hidden="1">{#N/A,#N/A,FALSE,"COMPUTATION";#N/A,#N/A,FALSE,"CAPITAL ACCOUNT";#N/A,#N/A,FALSE,"CURRENT ACCOUNT";#N/A,#N/A,FALSE,"COMPANY_BAL_SHEET";#N/A,#N/A,FALSE,"TRADING &amp; P&amp;L ACT";#N/A,#N/A,FALSE,"SCHEDULE VIII, IX";#N/A,#N/A,FALSE,"SCHEDULES";#N/A,#N/A,FALSE,"FIXED ASSETS"}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srt" hidden="1">{#N/A,#N/A,FALSE,"VARIATIONS";#N/A,#N/A,FALSE,"BUDGET";#N/A,#N/A,FALSE,"CIVIL QNTY VAR";#N/A,#N/A,FALSE,"SUMMARY";#N/A,#N/A,FALSE,"MATERIAL VAR"}</definedName>
    <definedName name="sryeysr" hidden="1">{#N/A,#N/A,TRUE,"Cover";#N/A,#N/A,TRUE,"Conts";#N/A,#N/A,TRUE,"VOS";#N/A,#N/A,TRUE,"Warrington";#N/A,#N/A,TRUE,"Widnes"}</definedName>
    <definedName name="ss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ssss" hidden="1">#REF!</definedName>
    <definedName name="sssss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sssss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uuu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s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WEWE" hidden="1">#REF!</definedName>
    <definedName name="ssww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TE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02" hidden="1">{#N/A,#N/A,FALSE,"gc (2)"}</definedName>
    <definedName name="stryt5u8h87" hidden="1">{#N/A,#N/A,TRUE,"Cover";#N/A,#N/A,TRUE,"Conts";#N/A,#N/A,TRUE,"VOS";#N/A,#N/A,TRUE,"Warrington";#N/A,#N/A,TRUE,"Widnes"}</definedName>
    <definedName name="stysr" hidden="1">{#N/A,#N/A,FALSE,"VARIATIONS";#N/A,#N/A,FALSE,"BUDGET";#N/A,#N/A,FALSE,"CIVIL QNTY VAR";#N/A,#N/A,FALSE,"SUMMARY";#N/A,#N/A,FALSE,"MATERIAL VAR"}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cc" hidden="1">{#N/A,#N/A,FALSE,"COVER1.XLS ";#N/A,#N/A,FALSE,"RACT1.XLS";#N/A,#N/A,FALSE,"RACT2.XLS";#N/A,#N/A,FALSE,"ECCMP";#N/A,#N/A,FALSE,"WELDER.XLS"}</definedName>
    <definedName name="sumJan12" hidden="1">{#N/A,#N/A,FALSE,"VARIATIONS";#N/A,#N/A,FALSE,"BUDGET";#N/A,#N/A,FALSE,"CIVIL QNTY VAR";#N/A,#N/A,FALSE,"SUMMARY";#N/A,#N/A,FALSE,"MATERIAL VAR"}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u" hidden="1">{#N/A,#N/A,TRUE,"Cover";#N/A,#N/A,TRUE,"Conts";#N/A,#N/A,TRUE,"VOS";#N/A,#N/A,TRUE,"Warrington";#N/A,#N/A,TRUE,"Widnes"}</definedName>
    <definedName name="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6.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A" hidden="1">{#N/A,#N/A,TRUE,"Financials";#N/A,#N/A,TRUE,"Operating Statistics";#N/A,#N/A,TRUE,"Capex &amp; Depreciation";#N/A,#N/A,TRUE,"Debt"}</definedName>
    <definedName name="tara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Calculation" hidden="1">#REF!</definedName>
    <definedName name="tb" hidden="1">{#N/A,#N/A,FALSE,"VARIATIONS";#N/A,#N/A,FALSE,"BUDGET";#N/A,#N/A,FALSE,"CIVIL QNTY VAR";#N/A,#N/A,FALSE,"SUMMARY";#N/A,#N/A,FALSE,"MATERIAL VAR"}</definedName>
    <definedName name="tbl_ProdInfo" hidden="1">#REF!</definedName>
    <definedName name="tdhbuhlyf" hidden="1">#REF!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11" hidden="1">{#N/A,#N/A,FALSE,"Fund-II"}</definedName>
    <definedName name="the" hidden="1">{#N/A,#N/A,FALSE,"gc (2)"}</definedName>
    <definedName name="Thiagarajan" hidden="1">{"'Sheet1'!$A$4386:$N$4591"}</definedName>
    <definedName name="thwghrt" hidden="1">{#N/A,#N/A,TRUE,"Cover";#N/A,#N/A,TRUE,"Conts";#N/A,#N/A,TRUE,"VOS";#N/A,#N/A,TRUE,"Warrington";#N/A,#N/A,TRUE,"Widnes"}</definedName>
    <definedName name="T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psheet" hidden="1">#REF!</definedName>
    <definedName name="total">#REF!</definedName>
    <definedName name="trbnuomi" hidden="1">{#N/A,#N/A,TRUE,"Cover";#N/A,#N/A,TRUE,"Conts";#N/A,#N/A,TRUE,"VOS";#N/A,#N/A,TRUE,"Warrington";#N/A,#N/A,TRUE,"Widnes"}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ialsummary" hidden="1">{"A.I.s",#N/A,TRUE,"Architects Instructions"}</definedName>
    <definedName name="tri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" hidden="1">{#N/A,#N/A,TRUE,"Financials";#N/A,#N/A,TRUE,"Operating Statistics";#N/A,#N/A,TRUE,"Capex &amp; Depreciation";#N/A,#N/A,TRUE,"Debt"}</definedName>
    <definedName name="TTJJ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t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ttt" hidden="1">{#N/A,#N/A,FALSE,"VARIATIONS";#N/A,#N/A,FALSE,"BUDGET";#N/A,#N/A,FALSE,"CIVIL QNTY VAR";#N/A,#N/A,FALSE,"SUMMARY";#N/A,#N/A,FALSE,"MATERIAL VAR"}</definedName>
    <definedName name="tttttttttttttttttttttttttttttttttttttttt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#REF!</definedName>
    <definedName name="TypeOfPlot">#REF!</definedName>
    <definedName name="TypeOfVilla">#REF!</definedName>
    <definedName name="tyutri" hidden="1">{#N/A,#N/A,TRUE,"Cover";#N/A,#N/A,TRUE,"Conts";#N/A,#N/A,TRUE,"VOS";#N/A,#N/A,TRUE,"Warrington";#N/A,#N/A,TRUE,"Widnes"}</definedName>
    <definedName name="ugftugfnhj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hhtrytrs" hidden="1">{#N/A,#N/A,TRUE,"Cover";#N/A,#N/A,TRUE,"Conts";#N/A,#N/A,TRUE,"VOS";#N/A,#N/A,TRUE,"Warrington";#N/A,#N/A,TRUE,"Widnes"}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K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ppuipui" hidden="1">{#N/A,#N/A,TRUE,"Cover";#N/A,#N/A,TRUE,"Conts";#N/A,#N/A,TRUE,"VOS";#N/A,#N/A,TRUE,"Warrington";#N/A,#N/A,TRUE,"Widnes"}</definedName>
    <definedName name="uma" hidden="1">{#N/A,#N/A,FALSE,"COVER1.XLS ";#N/A,#N/A,FALSE,"RACT1.XLS";#N/A,#N/A,FALSE,"RACT2.XLS";#N/A,#N/A,FALSE,"ECCMP";#N/A,#N/A,FALSE,"WELDER.XLS"}</definedName>
    <definedName name="uolougouio" hidden="1">{#N/A,#N/A,TRUE,"Cover";#N/A,#N/A,TRUE,"Conts";#N/A,#N/A,TRUE,"VOS";#N/A,#N/A,TRUE,"Warrington";#N/A,#N/A,TRUE,"Widnes"}</definedName>
    <definedName name="utuit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" hidden="1">{#N/A,#N/A,FALSE,"gc (2)"}</definedName>
    <definedName name="uutt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j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uuuuuuuuuuuuuuuuuuuuuuuuuuuuuuuuuu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yyhh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yedgnhgdf" hidden="1">#REF!</definedName>
    <definedName name="val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dfga" hidden="1">{#N/A,#N/A,FALSE,"COVER.XLS";#N/A,#N/A,FALSE,"RACT1.XLS";#N/A,#N/A,FALSE,"RACT2.XLS";#N/A,#N/A,FALSE,"ECCMP";#N/A,#N/A,FALSE,"WELDER.XLS"}</definedName>
    <definedName name="ve" hidden="1">{#N/A,#N/A,FALSE,"Chi tiÆt"}</definedName>
    <definedName name="vfhjigfhjgfhjgf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vg" hidden="1">{#N/A,#N/A,FALSE,"One Pager";#N/A,#N/A,FALSE,"Technical"}</definedName>
    <definedName name="vgfggh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ino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shnu" hidden="1">{#N/A,#N/A,FALSE,"One Pager";#N/A,#N/A,FALSE,"Technical"}</definedName>
    <definedName name="vj" hidden="1">{#N/A,#N/A,TRUE,"Cover";#N/A,#N/A,TRUE,"Conts";#N/A,#N/A,TRUE,"VOS";#N/A,#N/A,TRUE,"Warrington";#N/A,#N/A,TRUE,"Widnes"}</definedName>
    <definedName name="vk" hidden="1">{#N/A,#N/A,FALSE,"One Pager";#N/A,#N/A,FALSE,"Technical"}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II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vvvvvvvvvvv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" hidden="1">#REF!</definedName>
    <definedName name="vvvvvvvvvvvvvvvv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vv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vvvvvvvvvvvvvvvvvvv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xfvvvvvvvvvvvv" hidden="1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b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buu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eb" hidden="1">{#N/A,#N/A,FALSE,"Taxblinc";#N/A,#N/A,FALSE,"Rsvsacls"}</definedName>
    <definedName name="wedus" hidden="1">#REF!</definedName>
    <definedName name="wefrr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egywegt" hidden="1">{#N/A,#N/A,TRUE,"Cover";#N/A,#N/A,TRUE,"Conts";#N/A,#N/A,TRUE,"VOS";#N/A,#N/A,TRUE,"Warrington";#N/A,#N/A,TRUE,"Widnes"}</definedName>
    <definedName name="WELDINGGLAS">#REF!</definedName>
    <definedName name="we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indow" hidden="1">{#N/A,#N/A,FALSE,"VARIATIONS";#N/A,#N/A,FALSE,"BUDGET";#N/A,#N/A,FALSE,"CIVIL QNTY VAR";#N/A,#N/A,FALSE,"SUMMARY";#N/A,#N/A,FALSE,"MATERIAL VAR"}</definedName>
    <definedName name="wip" hidden="1">{"'Sheet1'!$A$4386:$N$4591"}</definedName>
    <definedName name="wipn" hidden="1">{"'Sheet1'!$A$4386:$N$4591"}</definedName>
    <definedName name="WK" hidden="1">{#N/A,#N/A,FALSE,"견적대비-2"}</definedName>
    <definedName name="wm.조골재1" hidden="1">{#N/A,#N/A,FALSE,"조골재"}</definedName>
    <definedName name="wo" hidden="1">{#N/A,#N/A,FALSE,"Chi tiÆt"}</definedName>
    <definedName name="wooden" hidden="1">{#N/A,#N/A,TRUE,"Cover";#N/A,#N/A,TRUE,"Conts";#N/A,#N/A,TRUE,"VOS";#N/A,#N/A,TRUE,"Warrington";#N/A,#N/A,TRUE,"Widnes"}</definedName>
    <definedName name="WPPPP" hidden="1">{#N/A,#N/A,FALSE,"Chi tiÆt"}</definedName>
    <definedName name="wqd" hidden="1">{#N/A,#N/A,FALSE,"mgtsum.XLS";#N/A,#N/A,FALSE,"CAPONE";#N/A,#N/A,FALSE,"CAPTWO";#N/A,#N/A,FALSE,"CAPTHREE"}</definedName>
    <definedName name="wr" hidden="1">{#N/A,#N/A,FALSE,"COVER1.XLS ";#N/A,#N/A,FALSE,"RACT1.XLS";#N/A,#N/A,FALSE,"RACT2.XLS";#N/A,#N/A,FALSE,"ECCMP";#N/A,#N/A,FALSE,"WELDER.XLS"}</definedName>
    <definedName name="WRITE" hidden="1">{#N/A,#N/A,FALSE,"CCTV"}</definedName>
    <definedName name="wrm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{#N/A,#N/A,TRUE,"?????";#N/A,#N/A,TRUE,"??????"}</definedName>
    <definedName name="wrn.????94.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wrn.??94??." hidden="1">{#N/A,#N/A,TRUE,"?????";#N/A,#N/A,TRUE,"??????";#N/A,#N/A,TRUE,"??";#N/A,#N/A,TRUE,"???";#N/A,#N/A,TRUE,"1? ????";#N/A,#N/A,TRUE,"2? ??";#N/A,#N/A,TRUE,"2??? ????";#N/A,#N/A,TRUE,"3(1)? ????";#N/A,#N/A,TRUE,"3(1) ?1 ????";#N/A,#N/A,TRUE,"3(1) ?2 ????";#N/A,#N/A,TRUE,"3(1) ?3 ????";#N/A,#N/A,TRUE,"3(1)?7 ????";#N/A,#N/A,TRUE,"3(3)?(?) ????";#N/A,#N/A,TRUE,"4? ????";#N/A,#N/A,TRUE,"5? ???";#N/A,#N/A,TRUE,"5?2 ???(?)";#N/A,#N/A,TRUE,"5?2 ???(?)";#N/A,#N/A,TRUE,"6? ????";#N/A,#N/A,TRUE,"6? ??(?)";#N/A,#N/A,TRUE,"6? ??(?)";#N/A,#N/A,TRUE,"6-1? ????";#N/A,#N/A,TRUE,"6-2(7)? ????";#N/A,#N/A,TRUE,"6-3? ??";#N/A,#N/A,TRUE,"6-3(3)? ??";#N/A,#N/A,TRUE,"6-3(4)? ??";#N/A,#N/A,TRUE,"6-4? ??(?)";#N/A,#N/A,TRUE,"6-4? ??(?)";#N/A,#N/A,TRUE,"?????";#N/A,#N/A,TRUE,"6-6(3)? ??(??)";#N/A,#N/A,TRUE,"6-6?(??) ?????";#N/A,#N/A,TRUE,"6-10? ????";#N/A,#N/A,TRUE,"6-11? ?????";#N/A,#N/A,TRUE,"6-12? ????";#N/A,#N/A,TRUE,"6-13? ???";#N/A,#N/A,TRUE,"??1";#N/A,#N/A,TRUE,"??2";#N/A,#N/A,TRUE,"8? ?????";#N/A,#N/A,TRUE,"9? ???(?)";#N/A,#N/A,TRUE,"9? ???(?)";#N/A,#N/A,TRUE,"10(3)? ????";#N/A,#N/A,TRUE,"10(3)? ??";#N/A,#N/A,TRUE,"10(4)? ????";#N/A,#N/A,TRUE,"14(1)? ? ??";#N/A,#N/A,TRUE,"59? ????";#N/A,#N/A,TRUE,"?? BS";#N/A,#N/A,TRUE,"?? PL";#N/A,#N/A,TRUE,"??RE";#N/A,#N/A,TRUE,"?8? ????";#N/A,#N/A,TRUE,"?????";#N/A,#N/A,TRUE,"????";#N/A,#N/A,TRUE,"????";#N/A,#N/A,TRUE,"???????";#N/A,#N/A,TRUE,"??????";#N/A,#N/A,TRUE,"????";#N/A,#N/A,TRUE,"offshore";#N/A,#N/A,TRUE,"???????"}</definedName>
    <definedName name="wrn.1." hidden="1">{#N/A,#N/A,FALSE,"17MAY";#N/A,#N/A,FALSE,"24MAY"}</definedName>
    <definedName name="wrn.2.2" hidden="1">{#N/A,#N/A,FALSE,"17MAY";#N/A,#N/A,FALSE,"24MAY"}</definedName>
    <definedName name="wrn.2번." hidden="1">{#N/A,#N/A,FALSE,"2~8번"}</definedName>
    <definedName name="wrn.502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51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95PROV." hidden="1">{#N/A,#N/A,FALSE,"Taxblinc";#N/A,#N/A,FALSE,"Rsvsacls"}</definedName>
    <definedName name="wrn.A.I.s." hidden="1">{"A.I.s",#N/A,TRUE,"Architects Instructions"}</definedName>
    <definedName name="wrn.AAA." hidden="1">{#N/A,#N/A,FALSE,"REK";#N/A,#N/A,FALSE,"Bq-ARS"}</definedName>
    <definedName name="wrn.Accounts." hidden="1">{#N/A,#N/A,TRUE,"SCH99";#N/A,#N/A,TRUE,"BS99";"Groupings",#N/A,TRUE,"GROUP_99 ";"Groupings-Comparitive",#N/A,TRUE,"GROUP_99 ";#N/A,#N/A,TRUE,"SCH98_E";#N/A,#N/A,TRUE,"ASSET_99 "}</definedName>
    <definedName name="wrn.ACHESON94TAXRETURN." hidden="1">{#N/A,#N/A,FALSE,"?????";#N/A,#N/A,FALSE,"??????";#N/A,#N/A,FALSE,"??";#N/A,#N/A,FALSE,"???";#N/A,#N/A,FALSE,"1? ????";#N/A,#N/A,FALSE,"1-2? ?????";#N/A,#N/A,FALSE,"2? ??";#N/A,#N/A,FALSE,"3(1)? ????";#N/A,#N/A,FALSE,"??????";#N/A,#N/A,FALSE,"3(1)?7 ????";#N/A,#N/A,FALSE,"3(3)?(?) ????";#N/A,#N/A,FALSE,"5? ???";#N/A,#N/A,FALSE,"6? ????";#N/A,#N/A,FALSE,"6? ??(?)";#N/A,#N/A,FALSE,"6? ??(?)";#N/A,#N/A,FALSE,"6-1? ????";#N/A,#N/A,FALSE,"6-3? ??";#N/A,#N/A,FALSE,"6-3(4)? ??";#N/A,#N/A,FALSE,"6-4? ??(?)";#N/A,#N/A,FALSE,"6-4? ??(?)";#N/A,#N/A,FALSE,"6-6?(??) ?????";#N/A,#N/A,FALSE,"6-10? ????";#N/A,#N/A,FALSE,"6-11? ?????";#N/A,#N/A,FALSE,"6-12? ????";#N/A,#N/A,FALSE,"6-14?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PL";#N/A,#N/A,FALSE,"????";#N/A,#N/A,FALSE,"??RE"}</definedName>
    <definedName name="wrn.Aging._.and._.Trend._.Analysis." hidden="1">{#N/A,#N/A,FALSE,"Aging Summary";#N/A,#N/A,FALSE,"Ratio Analysis";#N/A,#N/A,FALSE,"Test 120 Day Accts";#N/A,#N/A,FALSE,"Tickmarks"}</definedName>
    <definedName name="wrn.akj." hidden="1">{#N/A,#N/A,FALSE,"Statementa";#N/A,#N/A,FALSE,"P&amp;l AC";#N/A,#N/A,FALSE,"SCHDEULE (2)"}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Pages.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rn.All._.Sheets." hidden="1">{#N/A,#N/A,FALSE,"Sheet5";#N/A,#N/A,FALSE,"Sheet4";#N/A,#N/A,FALSE,"Sheet2";#N/A,#N/A,FALSE,"Sheet6";#N/A,#N/A,FALSE,"Sheet7";#N/A,#N/A,FALSE,"Sheet8";#N/A,#N/A,FALSE,"Sheet9";#N/A,#N/A,FALSE,"Sheet10"}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mk." hidden="1">{#N/A,#N/A,FALSE,"M&amp;B_43A_fab";#N/A,#N/A,FALSE,"M&amp;B_43A_ERE.";#N/A,#N/A,FALSE,"M&amp;B-43A-ALIGN"}</definedName>
    <definedName name="wrn.AMTNOL." hidden="1">{#N/A,#N/A,TRUE,"91AMTNOL";#N/A,#N/A,TRUE,"92AMTNOL";#N/A,#N/A,TRUE,"93AMTNOL"}</definedName>
    <definedName name="wrn.Assumption._.Book." hidden="1">{#N/A,#N/A,FALSE,"Model Assumptions"}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backup." hidden="1">{"financials",#N/A,FALSE,"BASIC";"interest",#N/A,FALSE,"BASIC";"leasing and financing",#N/A,FALSE,"BASIC";"returns back up",#N/A,FALSE,"BASIC"}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nk._.model." hidden="1">{"banks",#N/A,FALSE,"BASIC"}</definedName>
    <definedName name="wrn.BARCHART." hidden="1">{"View1",#N/A,FALSE,"Sheet1";"View2",#N/A,FALSE,"Sheet1";"View3",#N/A,FALSE,"Sheet1";"View4",#N/A,FALSE,"Sheet1"}</definedName>
    <definedName name="wrn.Basic._.Report." hidden="1">{#N/A,#N/A,FALSE,"New Depr Sch-150% DB";#N/A,#N/A,FALSE,"Cash Flows RLP";#N/A,#N/A,FALSE,"IRR";#N/A,#N/A,FALSE,"Proforma IS";#N/A,#N/A,FALSE,"Assumptions"}</definedName>
    <definedName name="wrn.BL94TAXRETURN." hidden="1">{#N/A,#N/A,FALSE,"?????";#N/A,#N/A,FALSE,"??????";#N/A,#N/A,FALSE,"10(2)? ????";#N/A,#N/A,FALSE,"??";#N/A,#N/A,FALSE,"???";#N/A,#N/A,FALSE,"1? ????";#N/A,#N/A,FALSE,"2? ??";#N/A,#N/A,FALSE,"2??? ????";#N/A,#N/A,FALSE,"3(1)? ????";#N/A,#N/A,FALSE,"3(1) ?1 ????";#N/A,#N/A,FALSE,"??????";#N/A,#N/A,FALSE,"3(1)?7 ????";#N/A,#N/A,FALSE,"3(3)?(?) ????";#N/A,#N/A,FALSE,"5? ???";#N/A,#N/A,FALSE,"6? ????";#N/A,#N/A,FALSE,"6? ??(?)";#N/A,#N/A,FALSE,"6? ??(?)";#N/A,#N/A,FALSE,"??????";#N/A,#N/A,FALSE,"6-1? ????";#N/A,#N/A,FALSE,"6-2(2)? ????";#N/A,#N/A,FALSE,"6-2(4)? ????";#N/A,#N/A,FALSE,"6-2(12)? ????";#N/A,#N/A,FALSE,"6-3? ??";#N/A,#N/A,FALSE,"6-3(3)? ??";#N/A,#N/A,FALSE,"6-3(4)? ??";#N/A,#N/A,FALSE,"6-4? ??(?)";#N/A,#N/A,FALSE,"6-4? ??(?)";#N/A,#N/A,FALSE,"6-5? ??(?)";#N/A,#N/A,FALSE,"6-5? ??(?)";#N/A,#N/A,FALSE,"6-6?(??) ?????";#N/A,#N/A,FALSE,"????";#N/A,#N/A,FALSE,"6-10?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PL";#N/A,#N/A,FALSE,"????";#N/A,#N/A,FALSE,"??RE";#N/A,#N/A,FALSE,"60? ? ????";#N/A,#N/A,FALSE,"60? ? ????";#N/A,#N/A,FALSE,"??";#N/A,#N/A,FALSE,"???";#N/A,#N/A,FALSE,"1? ????";#N/A,#N/A,FALSE,"1? ????";#N/A,#N/A,FALSE,"1? ????";#N/A,#N/A,FALSE,"1-2? ?????";#N/A,#N/A,FALSE,"2? ??";#N/A,#N/A,FALSE,"2??? ????";#N/A,#N/A,FALSE,"3(1)? ????";#N/A,#N/A,FALSE,"3(1) ?1 ????";#N/A,#N/A,FALSE,"3(1) ?2 ????";#N/A,#N/A,FALSE,"3(1) ?3 ????";#N/A,#N/A,FALSE,"3(1) ?4 ????";#N/A,#N/A,FALSE,"3? ??????";#N/A,#N/A,FALSE,"3(1)?7 ????";#N/A,#N/A,FALSE,"3(3)?(?) ????";#N/A,#N/A,FALSE,"5? ???";#N/A,#N/A,FALSE,"6? ????";#N/A,#N/A,FALSE,"6? ??(?)";#N/A,#N/A,FALSE,"6-1? ????";#N/A,#N/A,FALSE,"6-1?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?????";#N/A,#N/A,FALSE,"6-10? ????";#N/A,#N/A,FALSE,"6-11? ?????";#N/A,#N/A,FALSE,"6-12? ????";#N/A,#N/A,FALSE,"9? ???(?)";#N/A,#N/A,FALSE,"9? ???(?)";#N/A,#N/A,FALSE,"10(2)? ????";#N/A,#N/A,FALSE,"10(3)? ??";#N/A,#N/A,FALSE,"10(3)? ????";#N/A,#N/A,FALSE,"10(4)? ????";#N/A,#N/A,FALSE,"14(1)? ? ??";#N/A,#N/A,FALSE,"59? ????";#N/A,#N/A,FALSE,"60? ? ????";#N/A,#N/A,FALSE,"60? ? ????";#N/A,#N/A,FALSE,"?? BS";#N/A,#N/A,FALSE,"?? PL";#N/A,#N/A,FALSE,"????";#N/A,#N/A,FALSE,"??RE";#N/A,#N/A,FALSE,"??RE"}</definedName>
    <definedName name="wrn.BM." hidden="1">{#N/A,#N/A,FALSE,"CCTV"}</definedName>
    <definedName name="wrn.Cable._.Profile." hidden="1">{#N/A,#N/A,TRUE,"Cable 1"}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hi._.tiÆt._1" hidden="1">{#N/A,#N/A,FALSE,"Chi tiÆt"}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C94TAX." hidden="1">{#N/A,#N/A,FALSE,"?????";#N/A,#N/A,FALSE,"??????";#N/A,#N/A,FALSE,"??";#N/A,#N/A,FALSE,"???";#N/A,#N/A,FALSE,"1? ????";#N/A,#N/A,FALSE,"2? ??";#N/A,#N/A,FALSE,"3(3)?(?) ????";#N/A,#N/A,FALSE,"6? ????";#N/A,#N/A,FALSE,"6? ??(?)";#N/A,#N/A,FALSE,"6? ??(?)";#N/A,#N/A,FALSE,"6? ??(?)";#N/A,#N/A,FALSE,"6-1? ????";#N/A,#N/A,FALSE,"6-3? ??";#N/A,#N/A,FALSE,"6-4? ??(?)";#N/A,#N/A,FALSE,"6-4? ??(?)";#N/A,#N/A,FALSE,"????";#N/A,#N/A,FALSE,"6-6(3)? ??(??)";#N/A,#N/A,FALSE,"???????";#N/A,#N/A,FALSE,"6-6?(??) ?????";#N/A,#N/A,FALSE,"6-10? ????";#N/A,#N/A,FALSE,"6-11? ?????";#N/A,#N/A,FALSE,"6-12? ????";#N/A,#N/A,FALSE,"9? ???(?)";#N/A,#N/A,FALSE,"9? ???(?)";#N/A,#N/A,FALSE,"10(4)? ????";#N/A,#N/A,FALSE,"59? ????"}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II._.I." hidden="1">{#N/A,#N/A,FALSE,"Fund-I"}</definedName>
    <definedName name="wrn.CoIV._.II." hidden="1">{#N/A,#N/A,FALSE,"Fund-II"}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A94TAXRETURN." hidden="1">{#N/A,#N/A,FALSE,"?????";#N/A,#N/A,FALSE,"??????";#N/A,#N/A,FALSE,"??";#N/A,#N/A,FALSE,"???";#N/A,#N/A,FALSE,"1? ????";#N/A,#N/A,FALSE,"1-2? ?????";#N/A,#N/A,FALSE,"2? ??";#N/A,#N/A,FALSE,"2??? ????";#N/A,#N/A,FALSE,"3(1)?7 ????";#N/A,#N/A,FALSE,"3(3)?(?) ????";#N/A,#N/A,FALSE,"5? ???";#N/A,#N/A,FALSE,"5?2 ???(?)";#N/A,#N/A,FALSE,"6?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??(?)";#N/A,#N/A,FALSE,"????";#N/A,#N/A,FALSE,"6-6(3)? ??(??)";#N/A,#N/A,FALSE,"6-6?(??)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???(?)";#N/A,#N/A,FALSE,"10(2)? ????";#N/A,#N/A,FALSE,"10(3)? ????";#N/A,#N/A,FALSE,"10(3)? ??";#N/A,#N/A,FALSE,"10(4)? ????";#N/A,#N/A,FALSE,"14(1)? ? ??";#N/A,#N/A,FALSE,"59? ????";#N/A,#N/A,FALSE,"?? BS";#N/A,#N/A,FALSE,"?? PL";#N/A,#N/A,FALSE,"??RE"}</definedName>
    <definedName name="wrn.Data._.and._.Totals." hidden="1">{"All Except Totals",#N/A,TRUE,"Recap";"Totals Page",#N/A,TRUE,"Recap"}</definedName>
    <definedName name="wrn.dep." hidden="1">{"dep. full detail",#N/A,FALSE,"annex";"3cd annex",#N/A,FALSE,"annex";"co. dep.",#N/A,FALSE,"annex"}</definedName>
    <definedName name="wrn.Depreciation." hidden="1">{"DE_asfiled",#N/A,TRUE,"Amort.";"IRS_addl",#N/A,TRUE,"Amort."}</definedName>
    <definedName name="wrn.Detail." hidden="1">{"Detail",#N/A,FALSE,"Assump";"Detail",#N/A,FALSE,"Muni";"Detail",#N/A,FALSE,"Proj";"Detail",#N/A,FALSE,"Calc";"Present",#N/A,FALSE,"Cover"}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quipment._.List." hidden="1">{#N/A,#N/A,TRUE,"COVERSHEET";#N/A,#N/A,TRUE,"LEGEND";#N/A,#N/A,TRUE,"LIST"}</definedName>
    <definedName name="wrn.fff." hidden="1">{#N/A,#N/A,FALSE,"mono_axial";#N/A,#N/A,FALSE,"Mz"}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L._.ACCOUNT." hidden="1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name="wrn.Final._.Valuation." hidden="1">{"Valuation",#N/A,FALSE,"VALUATION";"Practical Completion",#N/A,FALSE,"RETENTION STATEMENT";"Progress Chart",#N/A,FALSE,"PROGRESS GRAPH"}</definedName>
    <definedName name="wrn.FINANCIAL._.REPORT.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name="wrn.floor." hidden="1">{#N/A,#N/A,TRUE,"Flooring "}</definedName>
    <definedName name="wrn.Ful._.Set." hidden="1">{"Bsheet",#N/A,FALSE,"Details";"P&amp;L",#N/A,FALSE,"Details";"Schedule",#N/A,FALSE,"Details";"Details",#N/A,FALSE,"Details"}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Financials." hidden="1">{#N/A,#N/A,TRUE,"Financials";#N/A,#N/A,TRUE,"Operating Statistics";#N/A,#N/A,TRUE,"Capex &amp; Depreciation";#N/A,#N/A,TRUE,"Debt"}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fin.1" hidden="1">{#N/A,#N/A,TRUE,"Financials";#N/A,#N/A,TRUE,"Operating Statistics";#N/A,#N/A,TRUE,"Capex &amp; Depreciation";#N/A,#N/A,TRUE,"Debt"}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.C.P.L.." hidden="1">{#N/A,#N/A,FALSE,"gc (2)"}</definedName>
    <definedName name="wrn.G.E.G._.7.0." hidden="1">{#N/A,#N/A,FALSE,"VARIATIONS";#N/A,#N/A,FALSE,"BUDGET";#N/A,#N/A,FALSE,"CIVIL QNTY VAR";#N/A,#N/A,FALSE,"SUMMARY";#N/A,#N/A,FALSE,"MATERIAL VAR"}</definedName>
    <definedName name="wrn.GENSERV." hidden="1">{#N/A,#N/A,FALSE,"VISTAF"}</definedName>
    <definedName name="wrn.Groupings." hidden="1">{"Groupings",#N/A,TRUE,"GROUP_99 ";"Groupings-Comparitive",#N/A,TRUE,"GROUP_99 "}</definedName>
    <definedName name="wrn.IFF94TAX." hidden="1">{#N/A,#N/A,FALSE,"?????";#N/A,#N/A,FALSE,"??????";#N/A,#N/A,FALSE,"??";#N/A,#N/A,FALSE,"???";#N/A,#N/A,FALSE,"1? ????";#N/A,#N/A,FALSE,"2? ??";#N/A,#N/A,FALSE,"3(3)?(?) ????";#N/A,#N/A,FALSE,"6? ????";#N/A,#N/A,FALSE,"6? ??(?)";#N/A,#N/A,FALSE,"6? ??(?)";#N/A,#N/A,FALSE,"6-1? ????";#N/A,#N/A,FALSE,"6-3? ??";#N/A,#N/A,FALSE,"6-4? ??(?)";#N/A,#N/A,FALSE,"6-4? ??(?)";#N/A,#N/A,FALSE,"6-5 ? ??";#N/A,#N/A,FALSE,"6-5? ??";#N/A,#N/A,FALSE,"????";#N/A,#N/A,FALSE,"???????";#N/A,#N/A,FALSE,"6-6?(??) ?????";#N/A,#N/A,FALSE,"6-11? ?????";#N/A,#N/A,FALSE,"6-12? ????";#N/A,#N/A,FALSE,"9? ???(?)";#N/A,#N/A,FALSE,"9? ???(?)";#N/A,#N/A,FALSE,"10(3)? ????";#N/A,#N/A,FALSE,"10(4)? ????";#N/A,#N/A,FALSE,"12? ????";#N/A,#N/A,FALSE,"14(1) ????(?)";#N/A,#N/A,FALSE,"59? ????";#N/A,#N/A,FALSE,"????";#N/A,#N/A,FALSE,"?? BS";#N/A,#N/A,FALSE,"??RE";#N/A,#N/A,FALSE,"?? PL"}</definedName>
    <definedName name="wrn.Interim._.Valuation." hidden="1">{"Valuation",#N/A,FALSE,"VALUATION";"Standard",#N/A,FALSE,"RETENTION STATEMENT";"Progress Chart",#N/A,FALSE,"PROGRESS GRAPH"}</definedName>
    <definedName name="wrn.Investment._.Review." hidden="1">{#N/A,#N/A,FALSE,"Proforma Five Yr";#N/A,#N/A,FALSE,"Capital Input";#N/A,#N/A,FALSE,"Calculations";#N/A,#N/A,FALSE,"Transaction Summary-DTW"}</definedName>
    <definedName name="wrn.Investors._.II." hidden="1">{#N/A,#N/A,FALSE,"Fund-II"}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khk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khkh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Kuwait._.1." hidden="1">{#N/A,#N/A,FALSE,"Fund-I"}</definedName>
    <definedName name="wrn.LTCG." hidden="1">{"office ltcg",#N/A,FALSE,"gain01";"IT LTCG",#N/A,FALSE,"gain01"}</definedName>
    <definedName name="wrn.MARGIN." hidden="1">{#N/A,#N/A,FALSE,"VISTAF"}</definedName>
    <definedName name="wrn.mhrfcst." hidden="1">{#N/A,#N/A,FALSE,"MANHR FCST-BASE"}</definedName>
    <definedName name="wrn.model." hidden="1">{"basic",#N/A,FALSE,"BASIC"}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r." hidden="1">{#N/A,#N/A,TRUE,"Pune Sum";#N/A,#N/A,TRUE,"MATERIALS"}</definedName>
    <definedName name="wrn.N.O.L.." hidden="1">{#N/A,#N/A,FALSE,"91NOLCB";#N/A,#N/A,FALSE,"92NOLCB";#N/A,#N/A,FALSE,"93NOLCB"}</definedName>
    <definedName name="wrn.One._.Pager._.plus._.Technicals." hidden="1">{#N/A,#N/A,FALSE,"One Pager";#N/A,#N/A,FALSE,"Technical"}</definedName>
    <definedName name="wrn.Operations._.Review." hidden="1">{#N/A,#N/A,FALSE,"Proforma Five Yr";#N/A,#N/A,FALSE,"Occ and Rate";#N/A,#N/A,FALSE,"PF Input";#N/A,#N/A,FALSE,"Hotcomps"}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AIM._.TAX._.PRO." hidden="1">{#N/A,#N/A,FALSE,"??";#N/A,#N/A,FALSE,"???";#N/A,#N/A,FALSE,"1? ????";#N/A,#N/A,FALSE,"2? ??";#N/A,#N/A,FALSE,"3(3)?(?) ????";#N/A,#N/A,FALSE,"6?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?????";#N/A,#N/A,FALSE,"6-11? ?????";#N/A,#N/A,FALSE,"6-12? ????";#N/A,#N/A,FALSE,"9? ???(?)";#N/A,#N/A,FALSE,"9? ???(?)";#N/A,#N/A,FALSE,"10(3)? ????";#N/A,#N/A,FALSE,"10(3)? ??";#N/A,#N/A,FALSE,"10(4)? ????";#N/A,#N/A,FALSE,"?? BS";#N/A,#N/A,FALSE,"?? PL";#N/A,#N/A,FALSE,"??RE"}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se._.I." hidden="1">{#N/A,#N/A,FALSE,"Transaction Summary-DTW";#N/A,#N/A,FALSE,"Proforma Five Yr";#N/A,#N/A,FALSE,"Occ and Rate"}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esent." hidden="1">{"Present",#N/A,FALSE,"Assump";"Present",#N/A,FALSE,"Calc";"Present",#N/A,FALSE,"Cover"}</definedName>
    <definedName name="wrn.print." hidden="1">{#N/A,#N/A,FALSE,"Japan 2003";#N/A,#N/A,FALSE,"Sheet2"}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ofitability." hidden="1">{#N/A,"Good",TRUE,"Sheet1";#N/A,"Normal",TRUE,"Sheet1";#N/A,"Bad",TRUE,"Sheet1"}</definedName>
    <definedName name="wrn.Proforma._.Review." hidden="1">{#N/A,#N/A,FALSE,"Occ and Rate";#N/A,#N/A,FALSE,"PF Input";#N/A,#N/A,FALSE,"Proforma Five Yr";#N/A,#N/A,FALSE,"Hotcomps"}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qqq." hidden="1">{"wwww",#N/A,FALSE,"Final_ RATE ANALYSIS 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4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1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1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1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5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6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8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950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6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." hidden="1">{#N/A,#N/A,FALSE,"COVER.XLS";#N/A,#N/A,FALSE,"RACT1.XLS";#N/A,#N/A,FALSE,"RACT2.XLS";#N/A,#N/A,FALSE,"ECCMP";#N/A,#N/A,FALSE,"WELDER.XLS"}</definedName>
    <definedName name="wrn.rep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q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Y848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Y849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isk._.Analysis._.Report._.1." hidden="1">{#N/A,#N/A,FALSE,"Sheet2";#N/A,#N/A,FALSE,"Sheet4";#N/A,#N/A,FALSE,"Sheet5"}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SAA94TAX." hidden="1">{#N/A,#N/A,TRUE,"??";#N/A,#N/A,TRUE,"???";#N/A,#N/A,TRUE,"1? ????";#N/A,#N/A,TRUE,"2? ??";#N/A,#N/A,TRUE,"3(1) ?3 ????";#N/A,#N/A,TRUE,"??????";#N/A,#N/A,TRUE,"?8? ????";#N/A,#N/A,TRUE,"3(1)?7 ????";#N/A,#N/A,TRUE,"3(3)?(?) ????";#N/A,#N/A,TRUE,"6? ????";#N/A,#N/A,TRUE,"6? ??(?)";#N/A,#N/A,TRUE,"6? ??(?)";#N/A,#N/A,TRUE,"6-1? ????";#N/A,#N/A,TRUE,"6-2(4)?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?????";#N/A,#N/A,TRUE,"6-10? ????";#N/A,#N/A,TRUE,"6-11? ?????";#N/A,#N/A,TRUE,"6-12? ????";#N/A,#N/A,TRUE,"6-13? ???";#N/A,#N/A,TRUE,"6-14? ?????";#N/A,#N/A,TRUE,"8? ?????";#N/A,#N/A,TRUE,"9? ???(?)";#N/A,#N/A,TRUE,"9? ???(?)";#N/A,#N/A,TRUE,"10(3)? ????";#N/A,#N/A,TRUE,"10(3)? ??";#N/A,#N/A,TRUE,"10(4)? ????";#N/A,#N/A,TRUE,"14(1)? ? ??";#N/A,#N/A,TRUE,"?? BS";#N/A,#N/A,TRUE,"?? PL";#N/A,#N/A,TRUE,"????";#N/A,#N/A,TRUE,"??RE"}</definedName>
    <definedName name="wrn.saasimple." hidden="1">{#N/A,#N/A,FALSE,"1? ????";#N/A,#N/A,FALSE,"2? ??";#N/A,#N/A,FALSE,"3(1)?7 ????";#N/A,#N/A,FALSE,"6? ????";#N/A,#N/A,FALSE,"6? ??(?)";#N/A,#N/A,FALSE,"6? ??(?)";#N/A,#N/A,FALSE,"6-1? ????";#N/A,#N/A,FALSE,"6-3(4)? ??";#N/A,#N/A,FALSE,"6-3? ??";#N/A,#N/A,FALSE,"6-3(3)? ??";#N/A,#N/A,FALSE,"6-3(4)? ??";#N/A,#N/A,FALSE,"6-4? ??(?)";#N/A,#N/A,FALSE,"6-4? ??(?)";#N/A,#N/A,FALSE,"6-5? ??(?)";#N/A,#N/A,FALSE,"6-5? ??(?)";#N/A,#N/A,FALSE,"6-11? ?????";#N/A,#N/A,FALSE,"6-13? ???";#N/A,#N/A,FALSE,"8? ?????";#N/A,#N/A,FALSE,"9? ???(?)";#N/A,#N/A,FALSE,"9? ???(?)";#N/A,#N/A,FALSE,"10(3)? ????";#N/A,#N/A,FALSE,"10(3)? ??";#N/A,#N/A,FALSE,"?? PL";#N/A,#N/A,FALSE,"10(4)? ????";#N/A,#N/A,FALSE,"14(1)? ? ??"}</definedName>
    <definedName name="wrn.summ1" hidden="1">{#N/A,#N/A,FALSE,"COVER1.XLS ";#N/A,#N/A,FALSE,"RACT1.XLS";#N/A,#N/A,FALSE,"RACT2.XLS";#N/A,#N/A,FALSE,"ECCMP";#N/A,#N/A,FALSE,"WELDER.XLS"}</definedName>
    <definedName name="wrn.summary." hidden="1">{"financials",#N/A,FALSE,"BASIC"}</definedName>
    <definedName name="wrn.TAX._.COMPUTATION." hidden="1">{#N/A,#N/A,FALSE,"TAX COMPUTATION";#N/A,#N/A,FALSE,"TAX SCHEDULE";#N/A,#N/A,FALSE,"ADDITIONS";#N/A,#N/A,FALSE,"W &amp; T"}</definedName>
    <definedName name="wrn.Test._.Report." hidden="1">{#N/A,#N/A,FALSE,"DATA D.I.";#N/A,#N/A,FALSE,"DATA C.I."}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u구매." hidden="1">{#N/A,#N/A,FALSE,"견적대비-2"}</definedName>
    <definedName name="wrn.trial." hidden="1">{#N/A,#N/A,FALSE,"mpph1";#N/A,#N/A,FALSE,"mpmseb";#N/A,#N/A,FALSE,"mpph2"}</definedName>
    <definedName name="wrn.tryv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UNIONGAS94TAXRETURN." hidden="1">{#N/A,#N/A,FALSE,"?????";#N/A,#N/A,FALSE,"??????";#N/A,#N/A,FALSE,"??";#N/A,#N/A,FALSE,"???";#N/A,#N/A,FALSE,"1? ????";#N/A,#N/A,FALSE,"1-2? ?????";#N/A,#N/A,FALSE,"2? ??";#N/A,#N/A,FALSE,"2??? ????";#N/A,#N/A,FALSE,"3(1)? ????";#N/A,#N/A,FALSE,"3(1) ?3 ????";#N/A,#N/A,FALSE,"3? ??????";#N/A,#N/A,FALSE,"?8? ????";#N/A,#N/A,FALSE,"3(1)?7 ????";#N/A,#N/A,FALSE,"3(3)?(?) ????";#N/A,#N/A,FALSE,"5? ???";#N/A,#N/A,FALSE,"5?2 ???(?)";#N/A,#N/A,FALSE,"6? ????";#N/A,#N/A,FALSE,"6? ??(?)";#N/A,#N/A,FALSE,"6? ??(?)";#N/A,#N/A,FALSE,"6-1? ????";#N/A,#N/A,FALSE,"6-3? ??";#N/A,#N/A,FALSE,"6-3(4)? ??";#N/A,#N/A,FALSE,"6-4? ??(?)";#N/A,#N/A,FALSE,"6-4? ??(?)";#N/A,#N/A,FALSE,"6-5? ??(?)";#N/A,#N/A,FALSE,"6-6?(??)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????";#N/A,#N/A,FALSE,"14(1)? ? ??";#N/A,#N/A,FALSE,"59? ????";#N/A,#N/A,FALSE,"60? ? ????";#N/A,#N/A,FALSE,"60? ? ????";#N/A,#N/A,FALSE,"?? BS";#N/A,#N/A,FALSE,"?? PL";#N/A,#N/A,FALSE,"????";#N/A,#N/A,FALSE,"??RE"}</definedName>
    <definedName name="wrn.VALUATION._.REPORT.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ntana." hidden="1">{#N/A,#N/A,FALSE,"Cash Flow";#N/A,#N/A,FALSE,"scenario 1"}</definedName>
    <definedName name="wrn.ventana.BKC" hidden="1">{#N/A,#N/A,FALSE,"Cash Flow";#N/A,#N/A,FALSE,"scenario 1"}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arrington._.Widnes._.QS._.Costs." hidden="1">{#N/A,#N/A,TRUE,"Cover";#N/A,#N/A,TRUE,"Conts";#N/A,#N/A,TRUE,"VOS";#N/A,#N/A,TRUE,"Warrington";#N/A,#N/A,TRUE,"Widnes"}</definedName>
    <definedName name="wrn.간단한세무조정계산서." hidden="1">{#N/A,#N/A,TRUE,"일반적사항";#N/A,#N/A,TRUE,"주요재무자료"}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단가표지." hidden="1">{#N/A,#N/A,FALSE,"단가표지"}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운반시간." hidden="1">{#N/A,#N/A,FALSE,"운반시간"}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표지목차." hidden="1">{#N/A,#N/A,FALSE,"표지목차"}</definedName>
    <definedName name="wrn.혼합골재." hidden="1">{#N/A,#N/A,FALSE,"혼합골재"}</definedName>
    <definedName name="WRN0" hidden="1">{#N/A,#N/A,FALSE,"COVER1.XLS ";#N/A,#N/A,FALSE,"RACT1.XLS";#N/A,#N/A,FALSE,"RACT2.XLS";#N/A,#N/A,FALSE,"ECCMP";#N/A,#N/A,FALSE,"WELDER.XLS"}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rwerwrew" hidden="1">{#N/A,#N/A,TRUE,"Cover";#N/A,#N/A,TRUE,"Conts";#N/A,#N/A,TRUE,"VOS";#N/A,#N/A,TRUE,"Warrington";#N/A,#N/A,TRUE,"Widnes"}</definedName>
    <definedName name="w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yuwyrututwys" hidden="1">{#N/A,#N/A,TRUE,"Cover";#N/A,#N/A,TRUE,"Conts";#N/A,#N/A,TRUE,"VOS";#N/A,#N/A,TRUE,"Warrington";#N/A,#N/A,TRUE,"Widnes"}</definedName>
    <definedName name="wsgz" hidden="1">{#N/A,#N/A,FALSE,"COVER1.XLS ";#N/A,#N/A,FALSE,"RACT1.XLS";#N/A,#N/A,FALSE,"RACT2.XLS";#N/A,#N/A,FALSE,"ECCMP";#N/A,#N/A,FALSE,"WELDER.XLS"}</definedName>
    <definedName name="ws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q" hidden="1">#REF!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W" hidden="1">{#N/A,#N/A,FALSE,"COVER.XLS";#N/A,#N/A,FALSE,"RACT1.XLS";#N/A,#N/A,FALSE,"RACT2.XLS";#N/A,#N/A,FALSE,"ECCMP";#N/A,#N/A,FALSE,"WELDER.XLS"}</definedName>
    <definedName name="wwwww" hidden="1">#REF!</definedName>
    <definedName name="wwwwwwwwwwwwwwwww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y7u7y" hidden="1">{#N/A,#N/A,TRUE,"Cover";#N/A,#N/A,TRUE,"Conts";#N/A,#N/A,TRUE,"VOS";#N/A,#N/A,TRUE,"Warrington";#N/A,#N/A,TRUE,"Widnes"}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l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AAAA" hidden="1">{"'Sheet1'!$L$16"}</definedName>
    <definedName name="xxxu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xxxxxxxxxxxxxx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xxxxxxx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xxxxxxxxxxxxxxx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Y" hidden="1">{#N/A,#N/A,FALSE,"VARIATIONS";#N/A,#N/A,FALSE,"BUDGET";#N/A,#N/A,FALSE,"CIVIL QNTY VAR";#N/A,#N/A,FALSE,"SUMMARY";#N/A,#N/A,FALSE,"MATERIAL VAR"}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ti7i78o" hidden="1">{#N/A,#N/A,TRUE,"Cover";#N/A,#N/A,TRUE,"Conts";#N/A,#N/A,TRUE,"VOS";#N/A,#N/A,TRUE,"Warrington";#N/A,#N/A,TRUE,"Widnes"}</definedName>
    <definedName name="yy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j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yyy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yyyyyyyyyyyyyyyyyyyyyyyyyyyyyyyyyy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yyyyyyyyyyyyyyyyyyyyyyyyyyyyyyyyyyyyyyyyy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zs" hidden="1">{#N/A,#N/A,FALSE,"VARIATIONS";#N/A,#N/A,FALSE,"BUDGET";#N/A,#N/A,FALSE,"CIVIL QNTY VAR";#N/A,#N/A,FALSE,"SUMMARY";#N/A,#N/A,FALSE,"MATERIAL VAR"}</definedName>
    <definedName name="Z_01EEECA8_52E8_4BA6_B221_CB6D3C468C80_.wvu.Cols" hidden="1">#REF!</definedName>
    <definedName name="Z_01EEECA8_52E8_4BA6_B221_CB6D3C468C80_.wvu.FilterData" hidden="1">#REF!</definedName>
    <definedName name="Z_0B3EF283_BAAE_40DA_B109_606B8002D5D4_.wvu.FilterData" hidden="1">#REF!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67879F2D_A365_4C5F_ACA2_06A222DC585F_.wvu.FilterData" hidden="1">#REF!</definedName>
    <definedName name="Z_6CDCF69B_5AF1_4147_8314_DDC51BBAE13A_.wvu.FilterData" hidden="1">#REF!</definedName>
    <definedName name="Z_8F2E145D_25EE_4C61_9720_9ACB051EA5D2_.wvu.PrintArea">#REF!</definedName>
    <definedName name="Z_8F2E145D_25EE_4C61_9720_9ACB051EA5D2_.wvu.PrintArea_1">#REF!</definedName>
    <definedName name="Z_8F2E145D_25EE_4C61_9720_9ACB051EA5D2_.wvu.PrintArea_2">#REF!</definedName>
    <definedName name="Z_8FCC9949_BB10_48DD_835F_9D6E68B3AE12_.wvu.PrintTitles" hidden="1">#REF!</definedName>
    <definedName name="Z_97AF8B62_D04D_48F2_A853_93998C7922D6_.wvu.FilterData" hidden="1">#REF!</definedName>
    <definedName name="Z_9F278A40_BF82_4E3D_9E8B_F7A34E58042E_.wvu.FilterData" hidden="1">#REF!</definedName>
    <definedName name="Z_EA424862_9DB5_4158_B57E_464B76E20666_.wvu.FilterData" hidden="1">#REF!</definedName>
    <definedName name="Z_F56F135F_44F3_478B_BCC3_5E739B702BEF_.wvu.Cols" hidden="1">#REF!</definedName>
    <definedName name="Z_F56F135F_44F3_478B_BCC3_5E739B702BEF_.wvu.FilterData" hidden="1">#REF!</definedName>
    <definedName name="Z_F56F135F_44F3_478B_BCC3_5E739B702BEF_.wvu.PrintTitles" hidden="1">#REF!,#REF!</definedName>
    <definedName name="ZBDZBDFB" hidden="1">{#N/A,#N/A,TRUE,"Cover";#N/A,#N/A,TRUE,"Conts";#N/A,#N/A,TRUE,"VOS";#N/A,#N/A,TRUE,"Warrington";#N/A,#N/A,TRUE,"Widnes"}</definedName>
    <definedName name="z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dasd" hidden="1">{#N/A,#N/A,FALSE,"견적대비-2"}</definedName>
    <definedName name="ZENAN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fs" hidden="1">{#N/A,#N/A,FALSE,"VARIATIONS";#N/A,#N/A,FALSE,"BUDGET";#N/A,#N/A,FALSE,"CIVIL QNTY VAR";#N/A,#N/A,FALSE,"SUMMARY";#N/A,#N/A,FALSE,"MATERIAL VAR"}</definedName>
    <definedName name="zzzu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ZZZZZZZZZZZ" hidden="1">#REF!</definedName>
    <definedName name="zzzzzzzzzzzzzzzzzzzzzzzzzzzz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zzzzzzzzzzzzzzzzzzzzzzzzzzzzzzzzzzzzzzzz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っｋ" hidden="1">#REF!</definedName>
    <definedName name="ㄱㄹㅇㄷ" hidden="1">#REF!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ㄳ" hidden="1">{#N/A,#N/A,FALSE,"단가표지"}</definedName>
    <definedName name="ㄴㄴ" hidden="1">{#N/A,#N/A,FALSE,"표지목차"}</definedName>
    <definedName name="ㄴㄻㄴㅇ" hidden="1">{#N/A,#N/A,FALSE,"조골재"}</definedName>
    <definedName name="ㄴㅁㄹㄴㅁㅇㄴㅇㅁㄹㄴ" hidden="1">{#N/A,#N/A,FALSE,"단가표지"}</definedName>
    <definedName name="넣러" hidden="1">{#N/A,#N/A,FALSE,"표지목차"}</definedName>
    <definedName name="놓ㄹ노" hidden="1">{#N/A,#N/A,FALSE,"골재소요량";#N/A,#N/A,FALSE,"골재소요량"}</definedName>
    <definedName name="ㄶㅇㅀㄴㅇ" hidden="1">{#N/A,#N/A,FALSE,"표지목차"}</definedName>
    <definedName name="ㄷㄱ" hidden="1">{#N/A,#N/A,FALSE,"단가표지"}</definedName>
    <definedName name="ㄷㄷㄷ" hidden="1">{#N/A,#N/A,FALSE,"운반시간"}</definedName>
    <definedName name="당초계획" hidden="1">#REF!</definedName>
    <definedName name="ㄹㄴㄹ" hidden="1">#REF!</definedName>
    <definedName name="ㄹㄴㅇㄻㄴ" hidden="1">{#N/A,#N/A,FALSE,"단가표지"}</definedName>
    <definedName name="ㄹㄴ웋" hidden="1">{#N/A,#N/A,FALSE,"운반시간"}</definedName>
    <definedName name="ㄹㅇㄹ" hidden="1">{#N/A,#N/A,FALSE,"혼합골재"}</definedName>
    <definedName name="ㄹㅇㅎㄴㅇ" hidden="1">{#N/A,#N/A,FALSE,"조골재"}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ㅇㅁ" hidden="1">{#N/A,#N/A,FALSE,"골재소요량";#N/A,#N/A,FALSE,"골재소요량"}</definedName>
    <definedName name="ㅁㄴㄹㄴ" hidden="1">{#N/A,#N/A,FALSE,"운반시간"}</definedName>
    <definedName name="ㅁㄴㄹㅇㅁ" hidden="1">{#N/A,#N/A,FALSE,"단가표지"}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ㅁㅁ" hidden="1">{#N/A,#N/A,FALSE,"혼합골재"}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" hidden="1">{#N/A,#N/A,FALSE,"표지목차"}</definedName>
    <definedName name="ㅂㅂ" hidden="1">{#N/A,#N/A,FALSE,"단가표지"}</definedName>
    <definedName name="ㅂㅂㅂㅂ" hidden="1">{#N/A,#N/A,FALSE,"조골재"}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충" hidden="1">#REF!</definedName>
    <definedName name="부대" hidden="1">{#N/A,#N/A,FALSE,"골재소요량";#N/A,#N/A,FALSE,"골재소요량"}</definedName>
    <definedName name="부대1" hidden="1">{#N/A,#N/A,FALSE,"운반시간"}</definedName>
    <definedName name="뷰" hidden="1">{#N/A,#N/A,FALSE,"단가표지"}</definedName>
    <definedName name="ㅅ굲유" hidden="1">{#N/A,#N/A,FALSE,"조골재"}</definedName>
    <definedName name="사업부양식2" hidden="1">#REF!</definedName>
    <definedName name="손익계산서" hidden="1">#REF!</definedName>
    <definedName name="ㅇㄴㄻ" hidden="1">{#N/A,#N/A,FALSE,"표지목차"}</definedName>
    <definedName name="ㅇㄴㄻㄴㅇ" hidden="1">{#N/A,#N/A,FALSE,"표지목차"}</definedName>
    <definedName name="ㅇㄻㅇㄻㄴㄹ" hidden="1">{#N/A,#N/A,FALSE,"단가표지"}</definedName>
    <definedName name="ㅇㅀㅁㅇㅁㅇ" hidden="1">{#N/A,#N/A,FALSE,"단가표지"}</definedName>
    <definedName name="ㅇㅇㅇ" hidden="1">{#N/A,#N/A,FALSE,"표지목차"}</definedName>
    <definedName name="ㅇ호" hidden="1">{#N/A,#N/A,FALSE,"혼합골재"}</definedName>
    <definedName name="우ㅗ홓ㅇ" hidden="1">{#N/A,#N/A,FALSE,"조골재"}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1" hidden="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정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가격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조건2" hidden="1">{#N/A,#N/A,FALSE,"CCTV"}</definedName>
    <definedName name="ㅊㅍㅋㅌㅊㅋ" hidden="1">{#N/A,#N/A,FALSE,"운반시간"}</definedName>
    <definedName name="ㅊㅍㅋㅌㅍㅌ" hidden="1">{#N/A,#N/A,FALSE,"혼합골재"}</definedName>
    <definedName name="ㅌㅍ츛ㅌ" hidden="1">{#N/A,#N/A,FALSE,"운반시간"}</definedName>
    <definedName name="테스크" hidden="1">{#N/A,#N/A,FALSE,"단가표지"}</definedName>
    <definedName name="토목" hidden="1">{#N/A,#N/A,FALSE,"단가표지"}</definedName>
    <definedName name="토목설계" hidden="1">{#N/A,#N/A,FALSE,"골재소요량";#N/A,#N/A,FALSE,"골재소요량"}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ㅍ춫" hidden="1">{#N/A,#N/A,FALSE,"골재소요량";#N/A,#N/A,FALSE,"골재소요량"}</definedName>
    <definedName name="ㅍ츝" hidden="1">{#N/A,#N/A,FALSE,"표지목차"}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호우" hidden="1">{#N/A,#N/A,FALSE,"표지목차"}</definedName>
    <definedName name="호우ㅗ" hidden="1">{#N/A,#N/A,FALSE,"단가표지"}</definedName>
    <definedName name="호ㅓㅎ" hidden="1">{#N/A,#N/A,FALSE,"표지목차"}</definedName>
    <definedName name="혼ㄹ" hidden="1">{#N/A,#N/A,FALSE,"운반시간"}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ㅏ허화" hidden="1">{#N/A,#N/A,FALSE,"골재소요량";#N/A,#N/A,FALSE,"골재소요량"}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쇼ㅓㅕㄷ쇼ㅓㅕㄷㅅ" hidden="1">{#N/A,#N/A,FALSE,"단가표지"}</definedName>
    <definedName name="ㅗㅓㅎ로ㅓㅎㄹ" hidden="1">{#N/A,#N/A,FALSE,"표지목차"}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ㅠㅍ" hidden="1">{#N/A,#N/A,FALSE,"혼합골재"}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ㄴ" hidden="1">{#N/A,#N/A,FALSE,"조골재"}</definedName>
    <definedName name="ㅠㄹㅇㄴㄴㄹㅇ" hidden="1">{#N/A,#N/A,FALSE,"단가표지"}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</definedNames>
  <calcPr calcId="124519"/>
</workbook>
</file>

<file path=xl/calcChain.xml><?xml version="1.0" encoding="utf-8"?>
<calcChain xmlns="http://schemas.openxmlformats.org/spreadsheetml/2006/main">
  <c r="L271" i="4"/>
  <c r="H267"/>
  <c r="I263"/>
  <c r="I260"/>
  <c r="I252"/>
  <c r="F251"/>
  <c r="I248"/>
  <c r="I240"/>
  <c r="H238"/>
  <c r="I233"/>
  <c r="H229"/>
  <c r="H228"/>
  <c r="D211"/>
  <c r="I211" s="1"/>
  <c r="I210"/>
  <c r="I206"/>
  <c r="I205"/>
  <c r="H204"/>
  <c r="I204" s="1"/>
  <c r="I203"/>
  <c r="I202"/>
  <c r="I201"/>
  <c r="I200"/>
  <c r="H198"/>
  <c r="I194"/>
  <c r="I191"/>
  <c r="I183"/>
  <c r="F182"/>
  <c r="I179"/>
  <c r="I171"/>
  <c r="H169"/>
  <c r="I164"/>
  <c r="H160"/>
  <c r="H159"/>
  <c r="D142"/>
  <c r="D143" s="1"/>
  <c r="I141"/>
  <c r="P134"/>
  <c r="I134"/>
  <c r="L134" s="1"/>
  <c r="P133"/>
  <c r="I133"/>
  <c r="L133" s="1"/>
  <c r="P132"/>
  <c r="P131"/>
  <c r="P130"/>
  <c r="H130"/>
  <c r="P129"/>
  <c r="D129"/>
  <c r="I129" s="1"/>
  <c r="P128"/>
  <c r="P127"/>
  <c r="P126"/>
  <c r="P125"/>
  <c r="I125"/>
  <c r="P124"/>
  <c r="I124"/>
  <c r="P123"/>
  <c r="P122"/>
  <c r="P121"/>
  <c r="P120"/>
  <c r="I120"/>
  <c r="P119"/>
  <c r="P118"/>
  <c r="P117"/>
  <c r="P116"/>
  <c r="P115"/>
  <c r="P114"/>
  <c r="P113"/>
  <c r="P112"/>
  <c r="I112"/>
  <c r="P111"/>
  <c r="P110"/>
  <c r="P109"/>
  <c r="P108"/>
  <c r="P107"/>
  <c r="I107"/>
  <c r="P106"/>
  <c r="D106"/>
  <c r="I106" s="1"/>
  <c r="P105"/>
  <c r="D105"/>
  <c r="D111" s="1"/>
  <c r="I111" s="1"/>
  <c r="P104"/>
  <c r="P103"/>
  <c r="P102"/>
  <c r="P101"/>
  <c r="H101"/>
  <c r="P100"/>
  <c r="P99"/>
  <c r="P98"/>
  <c r="I98"/>
  <c r="P97"/>
  <c r="I97"/>
  <c r="P96"/>
  <c r="I96"/>
  <c r="P95"/>
  <c r="I95"/>
  <c r="P94"/>
  <c r="I94"/>
  <c r="P93"/>
  <c r="I93"/>
  <c r="P92"/>
  <c r="I92"/>
  <c r="P91"/>
  <c r="P90"/>
  <c r="P89"/>
  <c r="P88"/>
  <c r="P87"/>
  <c r="H87"/>
  <c r="P86"/>
  <c r="H86"/>
  <c r="P85"/>
  <c r="H85"/>
  <c r="F85"/>
  <c r="D85"/>
  <c r="P84"/>
  <c r="I84"/>
  <c r="P83"/>
  <c r="P82"/>
  <c r="I82"/>
  <c r="P81"/>
  <c r="I81"/>
  <c r="P80"/>
  <c r="I80"/>
  <c r="P79"/>
  <c r="I79"/>
  <c r="P78"/>
  <c r="I78"/>
  <c r="P77"/>
  <c r="P76"/>
  <c r="P75"/>
  <c r="I75"/>
  <c r="P74"/>
  <c r="I74"/>
  <c r="P73"/>
  <c r="I73"/>
  <c r="P72"/>
  <c r="I72"/>
  <c r="P71"/>
  <c r="I71"/>
  <c r="P70"/>
  <c r="P69"/>
  <c r="I69"/>
  <c r="P68"/>
  <c r="I68"/>
  <c r="P67"/>
  <c r="I67"/>
  <c r="P66"/>
  <c r="P65"/>
  <c r="P64"/>
  <c r="H64"/>
  <c r="P63"/>
  <c r="D63"/>
  <c r="D64" s="1"/>
  <c r="P62"/>
  <c r="P61"/>
  <c r="P60"/>
  <c r="P59"/>
  <c r="I59"/>
  <c r="P58"/>
  <c r="I58"/>
  <c r="P57"/>
  <c r="P56"/>
  <c r="P55"/>
  <c r="P54"/>
  <c r="I54"/>
  <c r="P53"/>
  <c r="P52"/>
  <c r="P51"/>
  <c r="P50"/>
  <c r="P49"/>
  <c r="P48"/>
  <c r="P47"/>
  <c r="P46"/>
  <c r="I46"/>
  <c r="P45"/>
  <c r="P44"/>
  <c r="P43"/>
  <c r="P42"/>
  <c r="P41"/>
  <c r="I41"/>
  <c r="P40"/>
  <c r="D40"/>
  <c r="I40" s="1"/>
  <c r="P39"/>
  <c r="D39"/>
  <c r="D45" s="1"/>
  <c r="I45" s="1"/>
  <c r="P38"/>
  <c r="P37"/>
  <c r="P36"/>
  <c r="P35"/>
  <c r="H35"/>
  <c r="P34"/>
  <c r="P33"/>
  <c r="P32"/>
  <c r="I32"/>
  <c r="P31"/>
  <c r="I31"/>
  <c r="P30"/>
  <c r="I30"/>
  <c r="P29"/>
  <c r="I29"/>
  <c r="P28"/>
  <c r="I28"/>
  <c r="P27"/>
  <c r="I27"/>
  <c r="P26"/>
  <c r="I26"/>
  <c r="P25"/>
  <c r="E24"/>
  <c r="P24" s="1"/>
  <c r="E23"/>
  <c r="P23" s="1"/>
  <c r="E22"/>
  <c r="P22" s="1"/>
  <c r="H21"/>
  <c r="H20"/>
  <c r="E20"/>
  <c r="P20" s="1"/>
  <c r="H19"/>
  <c r="E19"/>
  <c r="P19" s="1"/>
  <c r="D19"/>
  <c r="D20" s="1"/>
  <c r="E18"/>
  <c r="I18" s="1"/>
  <c r="P17"/>
  <c r="P16"/>
  <c r="P15"/>
  <c r="I15"/>
  <c r="P14"/>
  <c r="I14"/>
  <c r="P13"/>
  <c r="I13"/>
  <c r="P12"/>
  <c r="I12"/>
  <c r="P11"/>
  <c r="I11"/>
  <c r="P10"/>
  <c r="I10"/>
  <c r="I39" l="1"/>
  <c r="I63"/>
  <c r="I142"/>
  <c r="D130"/>
  <c r="D131" s="1"/>
  <c r="I131" s="1"/>
  <c r="I85"/>
  <c r="P18"/>
  <c r="E21"/>
  <c r="P21" s="1"/>
  <c r="D86"/>
  <c r="D99"/>
  <c r="I143"/>
  <c r="D144"/>
  <c r="I64"/>
  <c r="D65"/>
  <c r="I65" s="1"/>
  <c r="I20"/>
  <c r="D21"/>
  <c r="I19"/>
  <c r="D33"/>
  <c r="I105"/>
  <c r="D212"/>
  <c r="I130" l="1"/>
  <c r="D100"/>
  <c r="I99"/>
  <c r="I86"/>
  <c r="D87"/>
  <c r="D34"/>
  <c r="I33"/>
  <c r="I212"/>
  <c r="D213"/>
  <c r="I144"/>
  <c r="D145"/>
  <c r="I21"/>
  <c r="D22"/>
  <c r="D101" l="1"/>
  <c r="I100"/>
  <c r="I87"/>
  <c r="D88"/>
  <c r="I34"/>
  <c r="D35"/>
  <c r="I213"/>
  <c r="D214"/>
  <c r="I22"/>
  <c r="D23"/>
  <c r="I145"/>
  <c r="D146"/>
  <c r="D102" l="1"/>
  <c r="I101"/>
  <c r="D89"/>
  <c r="I88"/>
  <c r="I23"/>
  <c r="D24"/>
  <c r="I24" s="1"/>
  <c r="I35"/>
  <c r="D36"/>
  <c r="I214"/>
  <c r="D215"/>
  <c r="I146"/>
  <c r="D147"/>
  <c r="I89" l="1"/>
  <c r="D90"/>
  <c r="I90" s="1"/>
  <c r="I102"/>
  <c r="D103"/>
  <c r="I147"/>
  <c r="D150"/>
  <c r="I36"/>
  <c r="D37"/>
  <c r="I215"/>
  <c r="D216"/>
  <c r="I103" l="1"/>
  <c r="D108"/>
  <c r="I37"/>
  <c r="D42"/>
  <c r="I216"/>
  <c r="D219"/>
  <c r="I150"/>
  <c r="D151"/>
  <c r="D109" l="1"/>
  <c r="I108"/>
  <c r="D43"/>
  <c r="I42"/>
  <c r="I219"/>
  <c r="D220"/>
  <c r="D153"/>
  <c r="I151"/>
  <c r="D159"/>
  <c r="I109" l="1"/>
  <c r="D113"/>
  <c r="D228"/>
  <c r="I220"/>
  <c r="D222"/>
  <c r="I153"/>
  <c r="D154"/>
  <c r="D47"/>
  <c r="I43"/>
  <c r="I159"/>
  <c r="D160"/>
  <c r="I113" l="1"/>
  <c r="D114"/>
  <c r="I160"/>
  <c r="D161"/>
  <c r="I228"/>
  <c r="D229"/>
  <c r="I222"/>
  <c r="D223"/>
  <c r="I154"/>
  <c r="D155"/>
  <c r="I47"/>
  <c r="D48"/>
  <c r="D115" l="1"/>
  <c r="I114"/>
  <c r="I223"/>
  <c r="D224"/>
  <c r="I161"/>
  <c r="D162"/>
  <c r="I155"/>
  <c r="D156"/>
  <c r="I229"/>
  <c r="D230"/>
  <c r="D49"/>
  <c r="I48"/>
  <c r="I115" l="1"/>
  <c r="D116"/>
  <c r="D157"/>
  <c r="I156"/>
  <c r="D225"/>
  <c r="I230"/>
  <c r="D231"/>
  <c r="I49"/>
  <c r="D50"/>
  <c r="I162"/>
  <c r="D163"/>
  <c r="I116" l="1"/>
  <c r="D117"/>
  <c r="I157"/>
  <c r="D158"/>
  <c r="I158" s="1"/>
  <c r="I50"/>
  <c r="D51"/>
  <c r="I225"/>
  <c r="D226"/>
  <c r="I163"/>
  <c r="D165"/>
  <c r="I231"/>
  <c r="D232"/>
  <c r="D118" l="1"/>
  <c r="I117"/>
  <c r="I165"/>
  <c r="D166"/>
  <c r="D234"/>
  <c r="I232"/>
  <c r="D52"/>
  <c r="I51"/>
  <c r="I226"/>
  <c r="D227"/>
  <c r="I227" s="1"/>
  <c r="D119" l="1"/>
  <c r="I118"/>
  <c r="D167"/>
  <c r="D169"/>
  <c r="I166"/>
  <c r="I234"/>
  <c r="D235"/>
  <c r="D53"/>
  <c r="I52"/>
  <c r="D121" l="1"/>
  <c r="I119"/>
  <c r="I167"/>
  <c r="D168"/>
  <c r="I168" s="1"/>
  <c r="D238"/>
  <c r="I235"/>
  <c r="D236"/>
  <c r="I169"/>
  <c r="D170"/>
  <c r="D55"/>
  <c r="I53"/>
  <c r="I121" l="1"/>
  <c r="D122"/>
  <c r="I55"/>
  <c r="D56"/>
  <c r="D239"/>
  <c r="I238"/>
  <c r="I236"/>
  <c r="D237"/>
  <c r="I237" s="1"/>
  <c r="I170"/>
  <c r="D172"/>
  <c r="I122" l="1"/>
  <c r="D126"/>
  <c r="D60"/>
  <c r="I56"/>
  <c r="I239"/>
  <c r="D241"/>
  <c r="D173"/>
  <c r="I172"/>
  <c r="D127" l="1"/>
  <c r="I127" s="1"/>
  <c r="I135" s="1"/>
  <c r="I126"/>
  <c r="I60"/>
  <c r="D61"/>
  <c r="I61" s="1"/>
  <c r="D242"/>
  <c r="I241"/>
  <c r="D176"/>
  <c r="I173"/>
  <c r="D174"/>
  <c r="I136" l="1"/>
  <c r="I137" s="1"/>
  <c r="I242"/>
  <c r="D243"/>
  <c r="D245"/>
  <c r="I176"/>
  <c r="D177"/>
  <c r="D175"/>
  <c r="I175" s="1"/>
  <c r="I174"/>
  <c r="D244" l="1"/>
  <c r="I244" s="1"/>
  <c r="I243"/>
  <c r="D246"/>
  <c r="I245"/>
  <c r="I177"/>
  <c r="D178"/>
  <c r="I246" l="1"/>
  <c r="D247"/>
  <c r="D180"/>
  <c r="I178"/>
  <c r="I247" l="1"/>
  <c r="D249"/>
  <c r="I180"/>
  <c r="D181"/>
  <c r="I249" l="1"/>
  <c r="D250"/>
  <c r="I181"/>
  <c r="D184"/>
  <c r="D182"/>
  <c r="I182" s="1"/>
  <c r="I250" l="1"/>
  <c r="D251"/>
  <c r="I251" s="1"/>
  <c r="D253"/>
  <c r="D185"/>
  <c r="I184"/>
  <c r="I253" l="1"/>
  <c r="D254"/>
  <c r="I185"/>
  <c r="D186"/>
  <c r="I254" l="1"/>
  <c r="D255"/>
  <c r="I186"/>
  <c r="D187"/>
  <c r="I255" l="1"/>
  <c r="D256"/>
  <c r="I187"/>
  <c r="D188"/>
  <c r="I256" l="1"/>
  <c r="D257"/>
  <c r="I188"/>
  <c r="D189"/>
  <c r="I257" l="1"/>
  <c r="D258"/>
  <c r="I189"/>
  <c r="D190"/>
  <c r="I258" l="1"/>
  <c r="D259"/>
  <c r="D192"/>
  <c r="I190"/>
  <c r="D261" l="1"/>
  <c r="I259"/>
  <c r="I192"/>
  <c r="D193"/>
  <c r="I261" l="1"/>
  <c r="D262"/>
  <c r="I193"/>
  <c r="D195"/>
  <c r="D264" l="1"/>
  <c r="I262"/>
  <c r="I195"/>
  <c r="D196"/>
  <c r="I264" l="1"/>
  <c r="D265"/>
  <c r="I196"/>
  <c r="D197"/>
  <c r="I265" l="1"/>
  <c r="D266"/>
  <c r="I197"/>
  <c r="D198"/>
  <c r="I198" s="1"/>
  <c r="I266" l="1"/>
  <c r="D267"/>
  <c r="I267" s="1"/>
  <c r="I268" l="1"/>
  <c r="I269" s="1"/>
  <c r="I270" s="1"/>
</calcChain>
</file>

<file path=xl/sharedStrings.xml><?xml version="1.0" encoding="utf-8"?>
<sst xmlns="http://schemas.openxmlformats.org/spreadsheetml/2006/main" count="459" uniqueCount="83">
  <si>
    <t>YALAVARTI INFRA PROJECTS</t>
  </si>
  <si>
    <r>
      <rPr>
        <b/>
        <sz val="11"/>
        <rFont val="Calibri"/>
        <family val="2"/>
        <scheme val="minor"/>
      </rPr>
      <t>Name of the Work :-</t>
    </r>
    <r>
      <rPr>
        <sz val="11"/>
        <rFont val="Calibri"/>
        <family val="2"/>
        <scheme val="minor"/>
      </rPr>
      <t xml:space="preserve"> Flooring work       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</si>
  <si>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>Name of the contractor :-</t>
    </r>
    <r>
      <rPr>
        <sz val="11"/>
        <rFont val="Calibri"/>
        <family val="2"/>
        <scheme val="minor"/>
      </rPr>
      <t xml:space="preserve">   ALN INFRA DEVELOPERS                                  </t>
    </r>
  </si>
  <si>
    <t>Bill Period: 05.11.25 to 05.01.26</t>
  </si>
  <si>
    <r>
      <rPr>
        <b/>
        <sz val="11"/>
        <rFont val="Calibri"/>
        <family val="2"/>
        <scheme val="minor"/>
      </rPr>
      <t>Bill no :- 01</t>
    </r>
    <r>
      <rPr>
        <sz val="11"/>
        <rFont val="Calibri"/>
        <family val="2"/>
        <scheme val="minor"/>
      </rPr>
      <t xml:space="preserve"> (Measurements)                                                                                                                  </t>
    </r>
  </si>
  <si>
    <t>Date :- 08-01-2026</t>
  </si>
  <si>
    <t>S.No</t>
  </si>
  <si>
    <t>Description</t>
  </si>
  <si>
    <t>UoM</t>
  </si>
  <si>
    <t>No's</t>
  </si>
  <si>
    <t>NoM</t>
  </si>
  <si>
    <t>Length</t>
  </si>
  <si>
    <t>Width</t>
  </si>
  <si>
    <t>Height</t>
  </si>
  <si>
    <t>Total Quantity</t>
  </si>
  <si>
    <t>Remarks</t>
  </si>
  <si>
    <t>I</t>
  </si>
  <si>
    <t>Living Room</t>
  </si>
  <si>
    <t>Sqm</t>
  </si>
  <si>
    <t>Kitchen</t>
  </si>
  <si>
    <t>Corridor</t>
  </si>
  <si>
    <t xml:space="preserve">365 SFT-Block </t>
  </si>
  <si>
    <t>Type-1 Flats - 6 No's</t>
  </si>
  <si>
    <t>Ceiling</t>
  </si>
  <si>
    <t>Ceiling - Living Room</t>
  </si>
  <si>
    <t>Ceiling - Bed Room</t>
  </si>
  <si>
    <t>Ceiling - Kitchen</t>
  </si>
  <si>
    <t>Ceiling - Balcony</t>
  </si>
  <si>
    <t>Ceiling -Toilet</t>
  </si>
  <si>
    <t>Internal Walls</t>
  </si>
  <si>
    <t>Long Walls</t>
  </si>
  <si>
    <t>Short Walls</t>
  </si>
  <si>
    <t>Shelf - Verticals</t>
  </si>
  <si>
    <t>one side was attached to the wall</t>
  </si>
  <si>
    <t>Shelf - Horizontals</t>
  </si>
  <si>
    <t>Shelf - Top</t>
  </si>
  <si>
    <t>Deductions</t>
  </si>
  <si>
    <t xml:space="preserve">Main Door </t>
  </si>
  <si>
    <t xml:space="preserve">Bedroom Door </t>
  </si>
  <si>
    <t xml:space="preserve">Kitchen Opening </t>
  </si>
  <si>
    <t xml:space="preserve">Toilet Door </t>
  </si>
  <si>
    <t xml:space="preserve">Balcony Door </t>
  </si>
  <si>
    <t xml:space="preserve">Window </t>
  </si>
  <si>
    <t>Bedroom</t>
  </si>
  <si>
    <t>Loft</t>
  </si>
  <si>
    <t>Bedroom Door Deduct</t>
  </si>
  <si>
    <t>Window Deduct</t>
  </si>
  <si>
    <t>Dado Deduct</t>
  </si>
  <si>
    <t>Kitchen Shelf</t>
  </si>
  <si>
    <t>Kitchen Counter</t>
  </si>
  <si>
    <t>Toilet</t>
  </si>
  <si>
    <t>Wall - Toilet</t>
  </si>
  <si>
    <t>Deduct Ventilator</t>
  </si>
  <si>
    <t>Balcony</t>
  </si>
  <si>
    <t>Opening Deduct</t>
  </si>
  <si>
    <t>Ceiling - Corridor</t>
  </si>
  <si>
    <t>Main Door Deduct</t>
  </si>
  <si>
    <t>Staircase Opening Deduct</t>
  </si>
  <si>
    <t>Add Jamb</t>
  </si>
  <si>
    <t>Type-2 Flats - 6 No's</t>
  </si>
  <si>
    <t>Staircase</t>
  </si>
  <si>
    <t>Waist Slab</t>
  </si>
  <si>
    <t>Mid Landing</t>
  </si>
  <si>
    <t xml:space="preserve">430 SFT-Block </t>
  </si>
  <si>
    <t>Ceiling - Hall</t>
  </si>
  <si>
    <t>Ceiling - BR-1</t>
  </si>
  <si>
    <t>Ceiling - BR-2</t>
  </si>
  <si>
    <t>Ceiling - Toilet</t>
  </si>
  <si>
    <t>Kitchen Opening Deduct</t>
  </si>
  <si>
    <t>Toilet Door Deduct</t>
  </si>
  <si>
    <t>Balcony Door Deduct</t>
  </si>
  <si>
    <t>Bedroom - 1</t>
  </si>
  <si>
    <t>Bedroom - 2</t>
  </si>
  <si>
    <t>Kitchen Cabinet</t>
  </si>
  <si>
    <t>Door Deduct</t>
  </si>
  <si>
    <t>Deduct opening @ Short wall</t>
  </si>
  <si>
    <t xml:space="preserve">        CONTRACTOR                SITE ENGINEER                    </t>
  </si>
  <si>
    <t>CHECKED BY</t>
  </si>
  <si>
    <t>PROJECT MANAGER</t>
  </si>
  <si>
    <t>Internal Hole Packing</t>
  </si>
  <si>
    <t>Hold 10 % for hsnding over</t>
  </si>
  <si>
    <t>Total payable quantity</t>
  </si>
  <si>
    <t>`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</si>
</sst>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.000_);_(* \(#,##0.000\);_(* &quot;-&quot;??_);_(@_)"/>
    <numFmt numFmtId="165" formatCode="0.000"/>
    <numFmt numFmtId="166" formatCode="_ * #,##0.00_ ;_ * \-#,##0.00_ ;_ * &quot;-&quot;??_ ;_ @_ "/>
    <numFmt numFmtId="167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</cellStyleXfs>
  <cellXfs count="40">
    <xf numFmtId="0" fontId="0" fillId="0" borderId="0" xfId="0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0" fontId="6" fillId="0" borderId="1" xfId="0" applyFont="1" applyBorder="1" applyAlignment="1">
      <alignment horizontal="left" vertical="top"/>
    </xf>
    <xf numFmtId="164" fontId="5" fillId="0" borderId="5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7" fillId="0" borderId="0" xfId="2" applyNumberFormat="1" applyFont="1" applyAlignment="1"/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166" fontId="7" fillId="0" borderId="0" xfId="2" applyNumberFormat="1" applyFont="1" applyAlignment="1">
      <alignment horizontal="center" vertical="top"/>
    </xf>
    <xf numFmtId="166" fontId="7" fillId="0" borderId="0" xfId="2" applyNumberFormat="1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</cellXfs>
  <cellStyles count="15">
    <cellStyle name="Comma" xfId="1" builtinId="3"/>
    <cellStyle name="Comma 2" xfId="2"/>
    <cellStyle name="Comma 2 2" xfId="3"/>
    <cellStyle name="Comma 2 2 2" xfId="4"/>
    <cellStyle name="Comma 2 3" xfId="5"/>
    <cellStyle name="Comma 3" xfId="6"/>
    <cellStyle name="Comma 4" xfId="7"/>
    <cellStyle name="Comma 4 2" xfId="8"/>
    <cellStyle name="Comma 5" xfId="9"/>
    <cellStyle name="Normal" xfId="0" builtinId="0"/>
    <cellStyle name="Normal 12" xfId="10"/>
    <cellStyle name="Normal 2 2 2" xfId="11"/>
    <cellStyle name="Normal 2_RA Bill 06 Submitted (TB)" xfId="12"/>
    <cellStyle name="Normal 3 2" xfId="13"/>
    <cellStyle name="Normal 50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78"/>
  <sheetViews>
    <sheetView tabSelected="1" view="pageBreakPreview" zoomScaleSheetLayoutView="100" workbookViewId="0">
      <pane ySplit="5" topLeftCell="A126" activePane="bottomLeft" state="frozen"/>
      <selection pane="bottomLeft" activeCell="H138" sqref="H138"/>
    </sheetView>
  </sheetViews>
  <sheetFormatPr defaultRowHeight="14.4"/>
  <cols>
    <col min="1" max="1" width="5" bestFit="1" customWidth="1"/>
    <col min="2" max="2" width="46.44140625" bestFit="1" customWidth="1"/>
    <col min="3" max="3" width="6.5546875" bestFit="1" customWidth="1"/>
    <col min="4" max="4" width="7.5546875" bestFit="1" customWidth="1"/>
    <col min="5" max="5" width="5.21875" bestFit="1" customWidth="1"/>
    <col min="6" max="6" width="7.44140625" style="22" bestFit="1" customWidth="1"/>
    <col min="7" max="7" width="6.33203125" style="22" bestFit="1" customWidth="1"/>
    <col min="8" max="8" width="11.6640625" style="22" customWidth="1"/>
    <col min="9" max="9" width="13.5546875" bestFit="1" customWidth="1"/>
    <col min="10" max="10" width="8.21875" bestFit="1" customWidth="1"/>
    <col min="13" max="13" width="9" bestFit="1" customWidth="1"/>
  </cols>
  <sheetData>
    <row r="1" spans="1:16" ht="18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1"/>
      <c r="L1" s="1"/>
      <c r="M1" s="1"/>
    </row>
    <row r="2" spans="1:16" ht="18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1"/>
      <c r="L2" s="1"/>
      <c r="M2" s="1"/>
    </row>
    <row r="3" spans="1:16" ht="18" customHeight="1">
      <c r="A3" s="27" t="s">
        <v>2</v>
      </c>
      <c r="B3" s="28"/>
      <c r="C3" s="2"/>
      <c r="D3" s="2"/>
      <c r="E3" s="2"/>
      <c r="F3" s="2"/>
      <c r="G3" s="29" t="s">
        <v>3</v>
      </c>
      <c r="H3" s="30"/>
      <c r="I3" s="30"/>
      <c r="J3" s="31"/>
      <c r="K3" s="1"/>
      <c r="L3" s="1"/>
      <c r="M3" s="1"/>
    </row>
    <row r="4" spans="1:16" ht="18" customHeight="1">
      <c r="A4" s="27" t="s">
        <v>4</v>
      </c>
      <c r="B4" s="28"/>
      <c r="C4" s="2"/>
      <c r="D4" s="2"/>
      <c r="E4" s="2"/>
      <c r="F4" s="2"/>
      <c r="G4" s="2"/>
      <c r="H4" s="2"/>
      <c r="I4" s="32" t="s">
        <v>5</v>
      </c>
      <c r="J4" s="33"/>
      <c r="K4" s="3"/>
      <c r="L4" s="3"/>
      <c r="M4" s="3"/>
    </row>
    <row r="5" spans="1:16">
      <c r="A5" s="4" t="s">
        <v>6</v>
      </c>
      <c r="B5" s="5" t="s">
        <v>7</v>
      </c>
      <c r="C5" s="6" t="s">
        <v>8</v>
      </c>
      <c r="D5" s="6" t="s">
        <v>9</v>
      </c>
      <c r="E5" s="7" t="s">
        <v>10</v>
      </c>
      <c r="F5" s="8" t="s">
        <v>11</v>
      </c>
      <c r="G5" s="8" t="s">
        <v>12</v>
      </c>
      <c r="H5" s="8" t="s">
        <v>13</v>
      </c>
      <c r="I5" s="9" t="s">
        <v>14</v>
      </c>
      <c r="J5" s="5" t="s">
        <v>15</v>
      </c>
    </row>
    <row r="6" spans="1:16" ht="18">
      <c r="A6" s="4" t="s">
        <v>16</v>
      </c>
      <c r="B6" s="16" t="s">
        <v>79</v>
      </c>
      <c r="C6" s="6"/>
      <c r="D6" s="6"/>
      <c r="E6" s="7"/>
      <c r="F6" s="8"/>
      <c r="G6" s="8"/>
      <c r="H6" s="8"/>
      <c r="I6" s="9"/>
      <c r="J6" s="5"/>
    </row>
    <row r="7" spans="1:16" ht="18">
      <c r="A7" s="4"/>
      <c r="B7" s="16" t="s">
        <v>21</v>
      </c>
      <c r="C7" s="17"/>
      <c r="D7" s="17"/>
      <c r="E7" s="7"/>
      <c r="F7" s="8"/>
      <c r="G7" s="8"/>
      <c r="H7" s="8"/>
      <c r="I7" s="9"/>
      <c r="J7" s="5"/>
    </row>
    <row r="8" spans="1:16">
      <c r="A8" s="4"/>
      <c r="B8" s="13" t="s">
        <v>22</v>
      </c>
      <c r="C8" s="10"/>
      <c r="D8" s="11"/>
      <c r="E8" s="11"/>
      <c r="F8" s="11"/>
      <c r="G8" s="11"/>
      <c r="H8" s="11"/>
      <c r="I8" s="12"/>
      <c r="J8" s="5"/>
    </row>
    <row r="9" spans="1:16">
      <c r="A9" s="4"/>
      <c r="B9" s="18" t="s">
        <v>23</v>
      </c>
      <c r="C9" s="17"/>
      <c r="D9" s="17"/>
      <c r="E9" s="7"/>
      <c r="F9" s="8"/>
      <c r="G9" s="8"/>
      <c r="H9" s="8"/>
      <c r="I9" s="9"/>
      <c r="J9" s="5"/>
    </row>
    <row r="10" spans="1:16">
      <c r="A10" s="4"/>
      <c r="B10" s="10" t="s">
        <v>24</v>
      </c>
      <c r="C10" s="10" t="s">
        <v>18</v>
      </c>
      <c r="D10" s="11">
        <v>6</v>
      </c>
      <c r="E10" s="11">
        <v>4</v>
      </c>
      <c r="F10" s="11">
        <v>3</v>
      </c>
      <c r="G10" s="11">
        <v>2.9</v>
      </c>
      <c r="H10" s="11"/>
      <c r="I10" s="12">
        <f t="shared" ref="I10:I15" si="0">+PRODUCT(D10:H10)</f>
        <v>208.79999999999998</v>
      </c>
      <c r="J10" s="5"/>
      <c r="O10" s="11">
        <v>4</v>
      </c>
      <c r="P10">
        <f>+O10-E10</f>
        <v>0</v>
      </c>
    </row>
    <row r="11" spans="1:16">
      <c r="A11" s="4"/>
      <c r="B11" s="10" t="s">
        <v>24</v>
      </c>
      <c r="C11" s="10" t="s">
        <v>18</v>
      </c>
      <c r="D11" s="11">
        <v>6</v>
      </c>
      <c r="E11" s="11">
        <v>4</v>
      </c>
      <c r="F11" s="11">
        <v>0.9</v>
      </c>
      <c r="G11" s="11">
        <v>1.8</v>
      </c>
      <c r="H11" s="11"/>
      <c r="I11" s="12">
        <f t="shared" si="0"/>
        <v>38.880000000000003</v>
      </c>
      <c r="J11" s="5"/>
      <c r="O11" s="11">
        <v>4</v>
      </c>
      <c r="P11">
        <f t="shared" ref="P11:P74" si="1">+O11-E11</f>
        <v>0</v>
      </c>
    </row>
    <row r="12" spans="1:16">
      <c r="A12" s="4"/>
      <c r="B12" s="10" t="s">
        <v>25</v>
      </c>
      <c r="C12" s="10" t="s">
        <v>18</v>
      </c>
      <c r="D12" s="11">
        <v>6</v>
      </c>
      <c r="E12" s="11">
        <v>4</v>
      </c>
      <c r="F12" s="11">
        <v>3.5</v>
      </c>
      <c r="G12" s="11">
        <v>2.4</v>
      </c>
      <c r="H12" s="11"/>
      <c r="I12" s="12">
        <f t="shared" si="0"/>
        <v>201.6</v>
      </c>
      <c r="J12" s="5"/>
      <c r="O12" s="11">
        <v>4</v>
      </c>
      <c r="P12">
        <f t="shared" si="1"/>
        <v>0</v>
      </c>
    </row>
    <row r="13" spans="1:16">
      <c r="A13" s="4"/>
      <c r="B13" s="10" t="s">
        <v>26</v>
      </c>
      <c r="C13" s="10" t="s">
        <v>18</v>
      </c>
      <c r="D13" s="11">
        <v>6</v>
      </c>
      <c r="E13" s="11">
        <v>4</v>
      </c>
      <c r="F13" s="11">
        <v>2.4</v>
      </c>
      <c r="G13" s="11">
        <v>1.5</v>
      </c>
      <c r="H13" s="11"/>
      <c r="I13" s="12">
        <f t="shared" si="0"/>
        <v>86.399999999999991</v>
      </c>
      <c r="J13" s="5"/>
      <c r="O13" s="11">
        <v>4</v>
      </c>
      <c r="P13">
        <f t="shared" si="1"/>
        <v>0</v>
      </c>
    </row>
    <row r="14" spans="1:16">
      <c r="A14" s="4"/>
      <c r="B14" s="10" t="s">
        <v>27</v>
      </c>
      <c r="C14" s="10" t="s">
        <v>18</v>
      </c>
      <c r="D14" s="11">
        <v>6</v>
      </c>
      <c r="E14" s="11">
        <v>4</v>
      </c>
      <c r="F14" s="11">
        <v>1.8</v>
      </c>
      <c r="G14" s="11">
        <v>0.9</v>
      </c>
      <c r="H14" s="11"/>
      <c r="I14" s="12">
        <f t="shared" si="0"/>
        <v>38.880000000000003</v>
      </c>
      <c r="J14" s="5"/>
      <c r="O14" s="11">
        <v>4</v>
      </c>
      <c r="P14">
        <f t="shared" si="1"/>
        <v>0</v>
      </c>
    </row>
    <row r="15" spans="1:16">
      <c r="A15" s="4"/>
      <c r="B15" s="10" t="s">
        <v>28</v>
      </c>
      <c r="C15" s="10" t="s">
        <v>18</v>
      </c>
      <c r="D15" s="11">
        <v>6</v>
      </c>
      <c r="E15" s="11">
        <v>4</v>
      </c>
      <c r="F15" s="11">
        <v>1.8</v>
      </c>
      <c r="G15" s="11">
        <v>1</v>
      </c>
      <c r="H15" s="11"/>
      <c r="I15" s="12">
        <f t="shared" si="0"/>
        <v>43.2</v>
      </c>
      <c r="J15" s="5"/>
      <c r="O15" s="11">
        <v>4</v>
      </c>
      <c r="P15">
        <f t="shared" si="1"/>
        <v>0</v>
      </c>
    </row>
    <row r="16" spans="1:16">
      <c r="A16" s="4"/>
      <c r="B16" s="13" t="s">
        <v>29</v>
      </c>
      <c r="C16" s="10"/>
      <c r="D16" s="11"/>
      <c r="E16" s="11"/>
      <c r="F16" s="11"/>
      <c r="G16" s="11"/>
      <c r="H16" s="11"/>
      <c r="I16" s="12"/>
      <c r="J16" s="5"/>
      <c r="O16" s="11">
        <v>0</v>
      </c>
      <c r="P16">
        <f t="shared" si="1"/>
        <v>0</v>
      </c>
    </row>
    <row r="17" spans="1:16">
      <c r="A17" s="4"/>
      <c r="B17" s="13" t="s">
        <v>17</v>
      </c>
      <c r="C17" s="10"/>
      <c r="D17" s="11"/>
      <c r="E17" s="11"/>
      <c r="F17" s="11"/>
      <c r="G17" s="11"/>
      <c r="H17" s="11"/>
      <c r="I17" s="12"/>
      <c r="J17" s="5"/>
      <c r="O17" s="11">
        <v>0</v>
      </c>
      <c r="P17">
        <f t="shared" si="1"/>
        <v>0</v>
      </c>
    </row>
    <row r="18" spans="1:16">
      <c r="A18" s="4"/>
      <c r="B18" s="10" t="s">
        <v>30</v>
      </c>
      <c r="C18" s="10" t="s">
        <v>18</v>
      </c>
      <c r="D18" s="11">
        <v>6</v>
      </c>
      <c r="E18" s="11">
        <f>2*4</f>
        <v>8</v>
      </c>
      <c r="F18" s="11">
        <v>3.9</v>
      </c>
      <c r="G18" s="11"/>
      <c r="H18" s="11">
        <v>2.7</v>
      </c>
      <c r="I18" s="12">
        <f t="shared" ref="I18:I65" si="2">+PRODUCT(D18:H18)</f>
        <v>505.44</v>
      </c>
      <c r="J18" s="5"/>
      <c r="O18" s="11">
        <v>8</v>
      </c>
      <c r="P18">
        <f t="shared" si="1"/>
        <v>0</v>
      </c>
    </row>
    <row r="19" spans="1:16">
      <c r="A19" s="4"/>
      <c r="B19" s="10" t="s">
        <v>31</v>
      </c>
      <c r="C19" s="10" t="s">
        <v>18</v>
      </c>
      <c r="D19" s="11">
        <f>+D18</f>
        <v>6</v>
      </c>
      <c r="E19" s="11">
        <f>2*4</f>
        <v>8</v>
      </c>
      <c r="F19" s="11">
        <v>2.9</v>
      </c>
      <c r="G19" s="11"/>
      <c r="H19" s="11">
        <f>+H18</f>
        <v>2.7</v>
      </c>
      <c r="I19" s="12">
        <f t="shared" si="2"/>
        <v>375.84</v>
      </c>
      <c r="J19" s="5"/>
      <c r="O19" s="11">
        <v>8</v>
      </c>
      <c r="P19">
        <f t="shared" si="1"/>
        <v>0</v>
      </c>
    </row>
    <row r="20" spans="1:16">
      <c r="A20" s="4"/>
      <c r="B20" s="10" t="s">
        <v>32</v>
      </c>
      <c r="C20" s="10" t="s">
        <v>18</v>
      </c>
      <c r="D20" s="14">
        <f>+D19</f>
        <v>6</v>
      </c>
      <c r="E20" s="14">
        <f>3*4</f>
        <v>12</v>
      </c>
      <c r="F20" s="14">
        <v>0.3</v>
      </c>
      <c r="G20" s="14"/>
      <c r="H20" s="14">
        <f>0.2+0.2+0.88+0.075</f>
        <v>1.355</v>
      </c>
      <c r="I20" s="12">
        <f>+PRODUCT(D20:H20)</f>
        <v>29.267999999999997</v>
      </c>
      <c r="J20" s="5"/>
      <c r="K20" t="s">
        <v>33</v>
      </c>
      <c r="O20" s="14">
        <v>12</v>
      </c>
      <c r="P20">
        <f t="shared" si="1"/>
        <v>0</v>
      </c>
    </row>
    <row r="21" spans="1:16">
      <c r="A21" s="4"/>
      <c r="B21" s="10"/>
      <c r="C21" s="10" t="s">
        <v>18</v>
      </c>
      <c r="D21" s="14">
        <f t="shared" ref="D21:D24" si="3">+D20</f>
        <v>6</v>
      </c>
      <c r="E21" s="14">
        <f>+E20</f>
        <v>12</v>
      </c>
      <c r="F21" s="14">
        <v>0.45</v>
      </c>
      <c r="G21" s="14"/>
      <c r="H21" s="14">
        <f>0.23+0.36+0.05</f>
        <v>0.64</v>
      </c>
      <c r="I21" s="12">
        <f>+PRODUCT(D21:H21)</f>
        <v>20.736000000000001</v>
      </c>
      <c r="J21" s="5"/>
      <c r="O21" s="14">
        <v>12</v>
      </c>
      <c r="P21">
        <f t="shared" si="1"/>
        <v>0</v>
      </c>
    </row>
    <row r="22" spans="1:16">
      <c r="A22" s="4"/>
      <c r="B22" s="10" t="s">
        <v>34</v>
      </c>
      <c r="C22" s="10" t="s">
        <v>18</v>
      </c>
      <c r="D22" s="14">
        <f t="shared" si="3"/>
        <v>6</v>
      </c>
      <c r="E22" s="14">
        <f>4*4</f>
        <v>16</v>
      </c>
      <c r="F22" s="14">
        <v>0.8</v>
      </c>
      <c r="G22" s="14">
        <v>0.45</v>
      </c>
      <c r="H22" s="14"/>
      <c r="I22" s="12">
        <f>+PRODUCT(D22:H22)</f>
        <v>34.560000000000009</v>
      </c>
      <c r="J22" s="5"/>
      <c r="O22" s="14">
        <v>16</v>
      </c>
      <c r="P22">
        <f t="shared" si="1"/>
        <v>0</v>
      </c>
    </row>
    <row r="23" spans="1:16">
      <c r="A23" s="4"/>
      <c r="B23" s="10"/>
      <c r="C23" s="10" t="s">
        <v>18</v>
      </c>
      <c r="D23" s="14">
        <f t="shared" si="3"/>
        <v>6</v>
      </c>
      <c r="E23" s="14">
        <f>6*4</f>
        <v>24</v>
      </c>
      <c r="F23" s="14">
        <v>0.8</v>
      </c>
      <c r="G23" s="14">
        <v>0.3</v>
      </c>
      <c r="H23" s="14"/>
      <c r="I23" s="12">
        <f>+PRODUCT(D23:H23)</f>
        <v>34.56</v>
      </c>
      <c r="J23" s="5"/>
      <c r="O23" s="14">
        <v>24</v>
      </c>
      <c r="P23">
        <f t="shared" si="1"/>
        <v>0</v>
      </c>
    </row>
    <row r="24" spans="1:16">
      <c r="A24" s="4"/>
      <c r="B24" s="10" t="s">
        <v>35</v>
      </c>
      <c r="C24" s="10" t="s">
        <v>18</v>
      </c>
      <c r="D24" s="14">
        <f t="shared" si="3"/>
        <v>6</v>
      </c>
      <c r="E24" s="14">
        <f>4*4</f>
        <v>16</v>
      </c>
      <c r="F24" s="14">
        <v>0.5</v>
      </c>
      <c r="G24" s="14">
        <v>0.3</v>
      </c>
      <c r="H24" s="14"/>
      <c r="I24" s="12">
        <f>+PRODUCT(D24:H24)</f>
        <v>14.399999999999999</v>
      </c>
      <c r="J24" s="5"/>
      <c r="O24" s="14">
        <v>16</v>
      </c>
      <c r="P24">
        <f t="shared" si="1"/>
        <v>0</v>
      </c>
    </row>
    <row r="25" spans="1:16">
      <c r="A25" s="4"/>
      <c r="B25" s="13" t="s">
        <v>36</v>
      </c>
      <c r="C25" s="10"/>
      <c r="D25" s="11"/>
      <c r="E25" s="11"/>
      <c r="F25" s="11"/>
      <c r="G25" s="11"/>
      <c r="H25" s="11"/>
      <c r="I25" s="12"/>
      <c r="J25" s="5"/>
      <c r="O25" s="11">
        <v>0</v>
      </c>
      <c r="P25">
        <f t="shared" si="1"/>
        <v>0</v>
      </c>
    </row>
    <row r="26" spans="1:16">
      <c r="A26" s="4"/>
      <c r="B26" s="10" t="s">
        <v>37</v>
      </c>
      <c r="C26" s="10" t="s">
        <v>18</v>
      </c>
      <c r="D26" s="11">
        <v>-6</v>
      </c>
      <c r="E26" s="11">
        <v>4</v>
      </c>
      <c r="F26" s="11">
        <v>0.9</v>
      </c>
      <c r="G26" s="11"/>
      <c r="H26" s="11">
        <v>1.9</v>
      </c>
      <c r="I26" s="12">
        <f t="shared" si="2"/>
        <v>-41.04</v>
      </c>
      <c r="J26" s="5"/>
      <c r="O26" s="11">
        <v>4</v>
      </c>
      <c r="P26">
        <f t="shared" si="1"/>
        <v>0</v>
      </c>
    </row>
    <row r="27" spans="1:16">
      <c r="A27" s="4"/>
      <c r="B27" s="10" t="s">
        <v>38</v>
      </c>
      <c r="C27" s="10" t="s">
        <v>18</v>
      </c>
      <c r="D27" s="11">
        <v>-6</v>
      </c>
      <c r="E27" s="11">
        <v>4</v>
      </c>
      <c r="F27" s="11">
        <v>0.9</v>
      </c>
      <c r="G27" s="11"/>
      <c r="H27" s="11">
        <v>1.9</v>
      </c>
      <c r="I27" s="12">
        <f t="shared" si="2"/>
        <v>-41.04</v>
      </c>
      <c r="J27" s="5"/>
      <c r="O27" s="11">
        <v>4</v>
      </c>
      <c r="P27">
        <f t="shared" si="1"/>
        <v>0</v>
      </c>
    </row>
    <row r="28" spans="1:16">
      <c r="A28" s="4"/>
      <c r="B28" s="10" t="s">
        <v>39</v>
      </c>
      <c r="C28" s="10" t="s">
        <v>18</v>
      </c>
      <c r="D28" s="11">
        <v>-6</v>
      </c>
      <c r="E28" s="11">
        <v>4</v>
      </c>
      <c r="F28" s="11">
        <v>0.8</v>
      </c>
      <c r="G28" s="11"/>
      <c r="H28" s="11">
        <v>1.9</v>
      </c>
      <c r="I28" s="12">
        <f t="shared" si="2"/>
        <v>-36.480000000000004</v>
      </c>
      <c r="J28" s="5"/>
      <c r="O28" s="11">
        <v>4</v>
      </c>
      <c r="P28">
        <f t="shared" si="1"/>
        <v>0</v>
      </c>
    </row>
    <row r="29" spans="1:16">
      <c r="A29" s="4"/>
      <c r="B29" s="10" t="s">
        <v>40</v>
      </c>
      <c r="C29" s="10" t="s">
        <v>18</v>
      </c>
      <c r="D29" s="11">
        <v>-6</v>
      </c>
      <c r="E29" s="11">
        <v>4</v>
      </c>
      <c r="F29" s="11">
        <v>0.75</v>
      </c>
      <c r="G29" s="11"/>
      <c r="H29" s="11">
        <v>1.9</v>
      </c>
      <c r="I29" s="12">
        <f t="shared" si="2"/>
        <v>-34.199999999999996</v>
      </c>
      <c r="J29" s="5"/>
      <c r="O29" s="11">
        <v>4</v>
      </c>
      <c r="P29">
        <f t="shared" si="1"/>
        <v>0</v>
      </c>
    </row>
    <row r="30" spans="1:16">
      <c r="A30" s="4"/>
      <c r="B30" s="10" t="s">
        <v>41</v>
      </c>
      <c r="C30" s="10" t="s">
        <v>18</v>
      </c>
      <c r="D30" s="11">
        <v>-6</v>
      </c>
      <c r="E30" s="11">
        <v>4</v>
      </c>
      <c r="F30" s="11">
        <v>0.75</v>
      </c>
      <c r="G30" s="11"/>
      <c r="H30" s="11">
        <v>1.9</v>
      </c>
      <c r="I30" s="12">
        <f t="shared" si="2"/>
        <v>-34.199999999999996</v>
      </c>
      <c r="J30" s="5"/>
      <c r="O30" s="11">
        <v>4</v>
      </c>
      <c r="P30">
        <f t="shared" si="1"/>
        <v>0</v>
      </c>
    </row>
    <row r="31" spans="1:16">
      <c r="A31" s="4"/>
      <c r="B31" s="10" t="s">
        <v>42</v>
      </c>
      <c r="C31" s="10" t="s">
        <v>18</v>
      </c>
      <c r="D31" s="11">
        <v>-6</v>
      </c>
      <c r="E31" s="11">
        <v>4</v>
      </c>
      <c r="F31" s="11">
        <v>0.9</v>
      </c>
      <c r="G31" s="11"/>
      <c r="H31" s="11">
        <v>1.2</v>
      </c>
      <c r="I31" s="12">
        <f t="shared" si="2"/>
        <v>-25.92</v>
      </c>
      <c r="J31" s="5"/>
      <c r="O31" s="11">
        <v>4</v>
      </c>
      <c r="P31">
        <f t="shared" si="1"/>
        <v>0</v>
      </c>
    </row>
    <row r="32" spans="1:16">
      <c r="A32" s="4"/>
      <c r="B32" s="13" t="s">
        <v>43</v>
      </c>
      <c r="C32" s="10"/>
      <c r="D32" s="11"/>
      <c r="E32" s="11"/>
      <c r="F32" s="11"/>
      <c r="G32" s="11"/>
      <c r="H32" s="11"/>
      <c r="I32" s="12">
        <f t="shared" si="2"/>
        <v>0</v>
      </c>
      <c r="J32" s="5"/>
      <c r="O32" s="11">
        <v>0</v>
      </c>
      <c r="P32">
        <f t="shared" si="1"/>
        <v>0</v>
      </c>
    </row>
    <row r="33" spans="1:16">
      <c r="A33" s="4"/>
      <c r="B33" s="10" t="s">
        <v>30</v>
      </c>
      <c r="C33" s="10" t="s">
        <v>18</v>
      </c>
      <c r="D33" s="11">
        <f>+D19</f>
        <v>6</v>
      </c>
      <c r="E33" s="11">
        <v>8</v>
      </c>
      <c r="F33" s="11">
        <v>3.5</v>
      </c>
      <c r="G33" s="11"/>
      <c r="H33" s="11">
        <v>2.7</v>
      </c>
      <c r="I33" s="12">
        <f t="shared" si="2"/>
        <v>453.6</v>
      </c>
      <c r="J33" s="5"/>
      <c r="O33" s="11">
        <v>8</v>
      </c>
      <c r="P33">
        <f t="shared" si="1"/>
        <v>0</v>
      </c>
    </row>
    <row r="34" spans="1:16">
      <c r="A34" s="4"/>
      <c r="B34" s="10" t="s">
        <v>31</v>
      </c>
      <c r="C34" s="10" t="s">
        <v>18</v>
      </c>
      <c r="D34" s="11">
        <f>+D33</f>
        <v>6</v>
      </c>
      <c r="E34" s="11">
        <v>8</v>
      </c>
      <c r="F34" s="11">
        <v>2.4</v>
      </c>
      <c r="G34" s="11"/>
      <c r="H34" s="11">
        <v>2.7</v>
      </c>
      <c r="I34" s="12">
        <f t="shared" si="2"/>
        <v>311.03999999999996</v>
      </c>
      <c r="J34" s="5"/>
      <c r="O34" s="11">
        <v>8</v>
      </c>
      <c r="P34">
        <f t="shared" si="1"/>
        <v>0</v>
      </c>
    </row>
    <row r="35" spans="1:16">
      <c r="A35" s="4"/>
      <c r="B35" s="10" t="s">
        <v>32</v>
      </c>
      <c r="C35" s="19" t="s">
        <v>18</v>
      </c>
      <c r="D35" s="14">
        <f>+D34</f>
        <v>6</v>
      </c>
      <c r="E35" s="14">
        <v>12</v>
      </c>
      <c r="F35" s="14">
        <v>0.3</v>
      </c>
      <c r="G35" s="14"/>
      <c r="H35" s="14">
        <f>0.325*3+0.55</f>
        <v>1.5250000000000001</v>
      </c>
      <c r="I35" s="20">
        <f>+PRODUCT(D35:H35)</f>
        <v>32.94</v>
      </c>
      <c r="J35" s="5"/>
      <c r="O35" s="14">
        <v>12</v>
      </c>
      <c r="P35">
        <f t="shared" si="1"/>
        <v>0</v>
      </c>
    </row>
    <row r="36" spans="1:16">
      <c r="A36" s="4"/>
      <c r="B36" s="10" t="s">
        <v>34</v>
      </c>
      <c r="C36" s="19" t="s">
        <v>18</v>
      </c>
      <c r="D36" s="14">
        <f>+D35</f>
        <v>6</v>
      </c>
      <c r="E36" s="14">
        <v>32</v>
      </c>
      <c r="F36" s="14">
        <v>1.05</v>
      </c>
      <c r="G36" s="14">
        <v>0.3</v>
      </c>
      <c r="H36" s="14"/>
      <c r="I36" s="20">
        <f>+PRODUCT(D36:H36)</f>
        <v>60.480000000000004</v>
      </c>
      <c r="J36" s="5"/>
      <c r="O36" s="14">
        <v>32</v>
      </c>
      <c r="P36">
        <f t="shared" si="1"/>
        <v>0</v>
      </c>
    </row>
    <row r="37" spans="1:16">
      <c r="A37" s="4"/>
      <c r="B37" s="19" t="s">
        <v>44</v>
      </c>
      <c r="C37" s="19" t="s">
        <v>18</v>
      </c>
      <c r="D37" s="14">
        <f>+D36</f>
        <v>6</v>
      </c>
      <c r="E37" s="14">
        <v>8</v>
      </c>
      <c r="F37" s="14">
        <v>2.4</v>
      </c>
      <c r="G37" s="14">
        <v>0.45</v>
      </c>
      <c r="H37" s="14"/>
      <c r="I37" s="20">
        <f>+PRODUCT(D37:H37)</f>
        <v>51.839999999999996</v>
      </c>
      <c r="J37" s="5"/>
      <c r="O37" s="14">
        <v>8</v>
      </c>
      <c r="P37">
        <f t="shared" si="1"/>
        <v>0</v>
      </c>
    </row>
    <row r="38" spans="1:16">
      <c r="A38" s="4"/>
      <c r="B38" s="13" t="s">
        <v>36</v>
      </c>
      <c r="C38" s="10"/>
      <c r="D38" s="11"/>
      <c r="E38" s="11"/>
      <c r="F38" s="11"/>
      <c r="G38" s="11"/>
      <c r="H38" s="11"/>
      <c r="I38" s="12"/>
      <c r="J38" s="5"/>
      <c r="O38" s="11">
        <v>0</v>
      </c>
      <c r="P38">
        <f t="shared" si="1"/>
        <v>0</v>
      </c>
    </row>
    <row r="39" spans="1:16">
      <c r="A39" s="4"/>
      <c r="B39" s="10" t="s">
        <v>45</v>
      </c>
      <c r="C39" s="10" t="s">
        <v>18</v>
      </c>
      <c r="D39" s="11">
        <f>+D30</f>
        <v>-6</v>
      </c>
      <c r="E39" s="11">
        <v>4</v>
      </c>
      <c r="F39" s="11">
        <v>0.9</v>
      </c>
      <c r="G39" s="11"/>
      <c r="H39" s="11">
        <v>1.9</v>
      </c>
      <c r="I39" s="12">
        <f t="shared" si="2"/>
        <v>-41.04</v>
      </c>
      <c r="J39" s="5"/>
      <c r="O39" s="11">
        <v>4</v>
      </c>
      <c r="P39">
        <f t="shared" si="1"/>
        <v>0</v>
      </c>
    </row>
    <row r="40" spans="1:16">
      <c r="A40" s="4"/>
      <c r="B40" s="10" t="s">
        <v>46</v>
      </c>
      <c r="C40" s="10" t="s">
        <v>18</v>
      </c>
      <c r="D40" s="11">
        <f>+D31</f>
        <v>-6</v>
      </c>
      <c r="E40" s="11">
        <v>4</v>
      </c>
      <c r="F40" s="11">
        <v>0.9</v>
      </c>
      <c r="G40" s="11"/>
      <c r="H40" s="11">
        <v>1.2</v>
      </c>
      <c r="I40" s="12">
        <f t="shared" si="2"/>
        <v>-25.92</v>
      </c>
      <c r="J40" s="5"/>
      <c r="O40" s="11">
        <v>4</v>
      </c>
      <c r="P40">
        <f t="shared" si="1"/>
        <v>0</v>
      </c>
    </row>
    <row r="41" spans="1:16">
      <c r="A41" s="4"/>
      <c r="B41" s="13" t="s">
        <v>19</v>
      </c>
      <c r="C41" s="10"/>
      <c r="D41" s="11"/>
      <c r="E41" s="11"/>
      <c r="F41" s="11"/>
      <c r="G41" s="11"/>
      <c r="H41" s="11"/>
      <c r="I41" s="12">
        <f t="shared" si="2"/>
        <v>0</v>
      </c>
      <c r="J41" s="5"/>
      <c r="O41" s="11">
        <v>0</v>
      </c>
      <c r="P41">
        <f t="shared" si="1"/>
        <v>0</v>
      </c>
    </row>
    <row r="42" spans="1:16">
      <c r="A42" s="4"/>
      <c r="B42" s="10" t="s">
        <v>30</v>
      </c>
      <c r="C42" s="10" t="s">
        <v>18</v>
      </c>
      <c r="D42" s="11">
        <f>+D37</f>
        <v>6</v>
      </c>
      <c r="E42" s="11">
        <v>8</v>
      </c>
      <c r="F42" s="11">
        <v>2.4</v>
      </c>
      <c r="G42" s="11"/>
      <c r="H42" s="11">
        <v>2.7</v>
      </c>
      <c r="I42" s="12">
        <f t="shared" si="2"/>
        <v>311.03999999999996</v>
      </c>
      <c r="J42" s="5"/>
      <c r="O42" s="11">
        <v>8</v>
      </c>
      <c r="P42">
        <f t="shared" si="1"/>
        <v>0</v>
      </c>
    </row>
    <row r="43" spans="1:16">
      <c r="A43" s="4"/>
      <c r="B43" s="10" t="s">
        <v>31</v>
      </c>
      <c r="C43" s="10" t="s">
        <v>18</v>
      </c>
      <c r="D43" s="11">
        <f>+D42</f>
        <v>6</v>
      </c>
      <c r="E43" s="11">
        <v>8</v>
      </c>
      <c r="F43" s="11">
        <v>1.5</v>
      </c>
      <c r="G43" s="11"/>
      <c r="H43" s="11">
        <v>2.7</v>
      </c>
      <c r="I43" s="12">
        <f t="shared" si="2"/>
        <v>194.4</v>
      </c>
      <c r="J43" s="5"/>
      <c r="O43" s="11">
        <v>8</v>
      </c>
      <c r="P43">
        <f t="shared" si="1"/>
        <v>0</v>
      </c>
    </row>
    <row r="44" spans="1:16">
      <c r="A44" s="4"/>
      <c r="B44" s="13" t="s">
        <v>36</v>
      </c>
      <c r="C44" s="10"/>
      <c r="D44" s="11"/>
      <c r="E44" s="11"/>
      <c r="F44" s="11"/>
      <c r="G44" s="11"/>
      <c r="H44" s="11"/>
      <c r="I44" s="12"/>
      <c r="J44" s="5"/>
      <c r="O44" s="11">
        <v>0</v>
      </c>
      <c r="P44">
        <f t="shared" si="1"/>
        <v>0</v>
      </c>
    </row>
    <row r="45" spans="1:16">
      <c r="A45" s="4"/>
      <c r="B45" s="10" t="s">
        <v>47</v>
      </c>
      <c r="C45" s="10" t="s">
        <v>18</v>
      </c>
      <c r="D45" s="11">
        <f>+D39</f>
        <v>-6</v>
      </c>
      <c r="E45" s="11">
        <v>4</v>
      </c>
      <c r="F45" s="11">
        <v>3.6</v>
      </c>
      <c r="G45" s="11"/>
      <c r="H45" s="11">
        <v>1.2</v>
      </c>
      <c r="I45" s="12">
        <f t="shared" si="2"/>
        <v>-103.68</v>
      </c>
      <c r="J45" s="5"/>
      <c r="O45" s="11">
        <v>4</v>
      </c>
      <c r="P45">
        <f t="shared" si="1"/>
        <v>0</v>
      </c>
    </row>
    <row r="46" spans="1:16">
      <c r="A46" s="4"/>
      <c r="B46" s="10" t="s">
        <v>48</v>
      </c>
      <c r="C46" s="10"/>
      <c r="D46" s="11"/>
      <c r="E46" s="11"/>
      <c r="F46" s="11"/>
      <c r="G46" s="11"/>
      <c r="H46" s="11"/>
      <c r="I46" s="12">
        <f t="shared" si="2"/>
        <v>0</v>
      </c>
      <c r="J46" s="5"/>
      <c r="O46" s="11">
        <v>0</v>
      </c>
      <c r="P46">
        <f t="shared" si="1"/>
        <v>0</v>
      </c>
    </row>
    <row r="47" spans="1:16">
      <c r="A47" s="4"/>
      <c r="B47" s="10"/>
      <c r="C47" s="10" t="s">
        <v>18</v>
      </c>
      <c r="D47" s="11">
        <f>+D43</f>
        <v>6</v>
      </c>
      <c r="E47" s="11">
        <v>8</v>
      </c>
      <c r="F47" s="11"/>
      <c r="G47" s="11">
        <v>0.3</v>
      </c>
      <c r="H47" s="11">
        <v>2.13</v>
      </c>
      <c r="I47" s="12">
        <f t="shared" si="2"/>
        <v>30.671999999999997</v>
      </c>
      <c r="J47" s="5"/>
      <c r="O47" s="11">
        <v>8</v>
      </c>
      <c r="P47">
        <f t="shared" si="1"/>
        <v>0</v>
      </c>
    </row>
    <row r="48" spans="1:16">
      <c r="A48" s="4"/>
      <c r="B48" s="10"/>
      <c r="C48" s="10" t="s">
        <v>18</v>
      </c>
      <c r="D48" s="11">
        <f t="shared" ref="D48:D53" si="4">+D47</f>
        <v>6</v>
      </c>
      <c r="E48" s="11">
        <v>40</v>
      </c>
      <c r="F48" s="11">
        <v>0.45</v>
      </c>
      <c r="G48" s="11">
        <v>0.3</v>
      </c>
      <c r="H48" s="11"/>
      <c r="I48" s="12">
        <f t="shared" si="2"/>
        <v>32.4</v>
      </c>
      <c r="J48" s="5"/>
      <c r="O48" s="11">
        <v>40</v>
      </c>
      <c r="P48">
        <f t="shared" si="1"/>
        <v>0</v>
      </c>
    </row>
    <row r="49" spans="1:16">
      <c r="A49" s="4"/>
      <c r="B49" s="10" t="s">
        <v>44</v>
      </c>
      <c r="C49" s="10" t="s">
        <v>18</v>
      </c>
      <c r="D49" s="11">
        <f t="shared" si="4"/>
        <v>6</v>
      </c>
      <c r="E49" s="11">
        <v>8</v>
      </c>
      <c r="F49" s="11">
        <v>1.2</v>
      </c>
      <c r="G49" s="11">
        <v>0.45</v>
      </c>
      <c r="H49" s="11"/>
      <c r="I49" s="12">
        <f t="shared" si="2"/>
        <v>25.919999999999998</v>
      </c>
      <c r="J49" s="5"/>
      <c r="O49" s="11">
        <v>8</v>
      </c>
      <c r="P49">
        <f t="shared" si="1"/>
        <v>0</v>
      </c>
    </row>
    <row r="50" spans="1:16">
      <c r="A50" s="4"/>
      <c r="B50" s="10" t="s">
        <v>49</v>
      </c>
      <c r="C50" s="10" t="s">
        <v>18</v>
      </c>
      <c r="D50" s="11">
        <f t="shared" si="4"/>
        <v>6</v>
      </c>
      <c r="E50" s="11">
        <v>16</v>
      </c>
      <c r="F50" s="11"/>
      <c r="G50" s="11">
        <v>0.6</v>
      </c>
      <c r="H50" s="11">
        <v>0.7</v>
      </c>
      <c r="I50" s="12">
        <f t="shared" si="2"/>
        <v>40.319999999999993</v>
      </c>
      <c r="J50" s="5"/>
      <c r="O50" s="11">
        <v>16</v>
      </c>
      <c r="P50">
        <f t="shared" si="1"/>
        <v>0</v>
      </c>
    </row>
    <row r="51" spans="1:16">
      <c r="A51" s="4"/>
      <c r="B51" s="10"/>
      <c r="C51" s="10" t="s">
        <v>18</v>
      </c>
      <c r="D51" s="11">
        <f t="shared" si="4"/>
        <v>6</v>
      </c>
      <c r="E51" s="11">
        <v>16</v>
      </c>
      <c r="F51" s="11">
        <v>0.75</v>
      </c>
      <c r="G51" s="11">
        <v>0.6</v>
      </c>
      <c r="H51" s="11"/>
      <c r="I51" s="12">
        <f t="shared" si="2"/>
        <v>43.199999999999996</v>
      </c>
      <c r="J51" s="5"/>
      <c r="O51" s="11">
        <v>16</v>
      </c>
      <c r="P51">
        <f t="shared" si="1"/>
        <v>0</v>
      </c>
    </row>
    <row r="52" spans="1:16">
      <c r="A52" s="4"/>
      <c r="B52" s="10"/>
      <c r="C52" s="10" t="s">
        <v>18</v>
      </c>
      <c r="D52" s="11">
        <f t="shared" si="4"/>
        <v>6</v>
      </c>
      <c r="E52" s="11">
        <v>8</v>
      </c>
      <c r="F52" s="11">
        <v>0.5</v>
      </c>
      <c r="G52" s="11">
        <v>0.6</v>
      </c>
      <c r="H52" s="11"/>
      <c r="I52" s="12">
        <f t="shared" si="2"/>
        <v>14.399999999999999</v>
      </c>
      <c r="J52" s="5"/>
      <c r="O52" s="11">
        <v>8</v>
      </c>
      <c r="P52">
        <f t="shared" si="1"/>
        <v>0</v>
      </c>
    </row>
    <row r="53" spans="1:16">
      <c r="A53" s="4"/>
      <c r="B53" s="10"/>
      <c r="C53" s="10" t="s">
        <v>18</v>
      </c>
      <c r="D53" s="11">
        <f t="shared" si="4"/>
        <v>6</v>
      </c>
      <c r="E53" s="11">
        <v>4</v>
      </c>
      <c r="F53" s="11">
        <v>0.7</v>
      </c>
      <c r="G53" s="11">
        <v>0.6</v>
      </c>
      <c r="H53" s="11"/>
      <c r="I53" s="12">
        <f t="shared" si="2"/>
        <v>10.079999999999998</v>
      </c>
      <c r="J53" s="5"/>
      <c r="O53" s="11">
        <v>4</v>
      </c>
      <c r="P53">
        <f t="shared" si="1"/>
        <v>0</v>
      </c>
    </row>
    <row r="54" spans="1:16">
      <c r="A54" s="4"/>
      <c r="B54" s="13" t="s">
        <v>50</v>
      </c>
      <c r="C54" s="10"/>
      <c r="D54" s="11"/>
      <c r="E54" s="11"/>
      <c r="F54" s="11"/>
      <c r="G54" s="11"/>
      <c r="H54" s="11"/>
      <c r="I54" s="12">
        <f t="shared" si="2"/>
        <v>0</v>
      </c>
      <c r="J54" s="5"/>
      <c r="O54" s="11">
        <v>0</v>
      </c>
      <c r="P54">
        <f t="shared" si="1"/>
        <v>0</v>
      </c>
    </row>
    <row r="55" spans="1:16">
      <c r="A55" s="4"/>
      <c r="B55" s="10" t="s">
        <v>51</v>
      </c>
      <c r="C55" s="10" t="s">
        <v>18</v>
      </c>
      <c r="D55" s="11">
        <f>+D53</f>
        <v>6</v>
      </c>
      <c r="E55" s="11">
        <v>8</v>
      </c>
      <c r="F55" s="11">
        <v>1.8</v>
      </c>
      <c r="G55" s="11"/>
      <c r="H55" s="11">
        <v>0.6</v>
      </c>
      <c r="I55" s="12">
        <f t="shared" si="2"/>
        <v>51.84</v>
      </c>
      <c r="J55" s="5"/>
      <c r="O55" s="11">
        <v>8</v>
      </c>
      <c r="P55">
        <f t="shared" si="1"/>
        <v>0</v>
      </c>
    </row>
    <row r="56" spans="1:16">
      <c r="A56" s="4"/>
      <c r="B56" s="10"/>
      <c r="C56" s="10" t="s">
        <v>18</v>
      </c>
      <c r="D56" s="11">
        <f>+D55</f>
        <v>6</v>
      </c>
      <c r="E56" s="11">
        <v>8</v>
      </c>
      <c r="F56" s="11"/>
      <c r="G56" s="11">
        <v>1</v>
      </c>
      <c r="H56" s="11">
        <v>0.6</v>
      </c>
      <c r="I56" s="12">
        <f t="shared" si="2"/>
        <v>28.799999999999997</v>
      </c>
      <c r="J56" s="5"/>
      <c r="O56" s="11">
        <v>8</v>
      </c>
      <c r="P56">
        <f t="shared" si="1"/>
        <v>0</v>
      </c>
    </row>
    <row r="57" spans="1:16">
      <c r="A57" s="4"/>
      <c r="B57" s="13" t="s">
        <v>36</v>
      </c>
      <c r="C57" s="10"/>
      <c r="D57" s="11"/>
      <c r="E57" s="11"/>
      <c r="F57" s="11"/>
      <c r="G57" s="11"/>
      <c r="H57" s="11"/>
      <c r="I57" s="12"/>
      <c r="J57" s="5"/>
      <c r="O57" s="11">
        <v>0</v>
      </c>
      <c r="P57">
        <f t="shared" si="1"/>
        <v>0</v>
      </c>
    </row>
    <row r="58" spans="1:16">
      <c r="A58" s="4"/>
      <c r="B58" s="10" t="s">
        <v>52</v>
      </c>
      <c r="C58" s="10" t="s">
        <v>18</v>
      </c>
      <c r="D58" s="11">
        <v>-6</v>
      </c>
      <c r="E58" s="11">
        <v>4</v>
      </c>
      <c r="F58" s="11">
        <v>0.6</v>
      </c>
      <c r="G58" s="11"/>
      <c r="H58" s="11">
        <v>0.45</v>
      </c>
      <c r="I58" s="12">
        <f t="shared" ref="I58" si="5">+PRODUCT(D58:H58)</f>
        <v>-6.4799999999999995</v>
      </c>
      <c r="J58" s="5"/>
      <c r="O58" s="11">
        <v>4</v>
      </c>
      <c r="P58">
        <f t="shared" si="1"/>
        <v>0</v>
      </c>
    </row>
    <row r="59" spans="1:16">
      <c r="A59" s="4"/>
      <c r="B59" s="13" t="s">
        <v>53</v>
      </c>
      <c r="C59" s="10"/>
      <c r="D59" s="11"/>
      <c r="E59" s="11"/>
      <c r="F59" s="11"/>
      <c r="G59" s="11"/>
      <c r="H59" s="11"/>
      <c r="I59" s="12">
        <f t="shared" si="2"/>
        <v>0</v>
      </c>
      <c r="J59" s="5"/>
      <c r="O59" s="11">
        <v>0</v>
      </c>
      <c r="P59">
        <f t="shared" si="1"/>
        <v>0</v>
      </c>
    </row>
    <row r="60" spans="1:16">
      <c r="A60" s="4"/>
      <c r="B60" s="10" t="s">
        <v>30</v>
      </c>
      <c r="C60" s="10" t="s">
        <v>18</v>
      </c>
      <c r="D60" s="11">
        <f>+D56</f>
        <v>6</v>
      </c>
      <c r="E60" s="11">
        <v>8</v>
      </c>
      <c r="F60" s="11">
        <v>1.8</v>
      </c>
      <c r="G60" s="11"/>
      <c r="H60" s="11">
        <v>2.7</v>
      </c>
      <c r="I60" s="12">
        <f t="shared" si="2"/>
        <v>233.28000000000003</v>
      </c>
      <c r="J60" s="5"/>
      <c r="O60" s="11">
        <v>8</v>
      </c>
      <c r="P60">
        <f t="shared" si="1"/>
        <v>0</v>
      </c>
    </row>
    <row r="61" spans="1:16">
      <c r="A61" s="4"/>
      <c r="B61" s="10" t="s">
        <v>31</v>
      </c>
      <c r="C61" s="10" t="s">
        <v>18</v>
      </c>
      <c r="D61" s="11">
        <f>+D60</f>
        <v>6</v>
      </c>
      <c r="E61" s="11">
        <v>8</v>
      </c>
      <c r="F61" s="11">
        <v>0.9</v>
      </c>
      <c r="G61" s="11"/>
      <c r="H61" s="11">
        <v>2.7</v>
      </c>
      <c r="I61" s="12">
        <f t="shared" si="2"/>
        <v>116.64000000000001</v>
      </c>
      <c r="J61" s="5"/>
      <c r="O61" s="11">
        <v>8</v>
      </c>
      <c r="P61">
        <f t="shared" si="1"/>
        <v>0</v>
      </c>
    </row>
    <row r="62" spans="1:16">
      <c r="A62" s="4"/>
      <c r="B62" s="13" t="s">
        <v>36</v>
      </c>
      <c r="C62" s="10"/>
      <c r="D62" s="11"/>
      <c r="E62" s="11"/>
      <c r="F62" s="11"/>
      <c r="G62" s="11"/>
      <c r="H62" s="11"/>
      <c r="I62" s="12"/>
      <c r="J62" s="5"/>
      <c r="O62" s="11">
        <v>0</v>
      </c>
      <c r="P62">
        <f t="shared" si="1"/>
        <v>0</v>
      </c>
    </row>
    <row r="63" spans="1:16">
      <c r="A63" s="4"/>
      <c r="B63" s="10" t="s">
        <v>41</v>
      </c>
      <c r="C63" s="10" t="s">
        <v>18</v>
      </c>
      <c r="D63" s="11">
        <f>+D58</f>
        <v>-6</v>
      </c>
      <c r="E63" s="11">
        <v>4</v>
      </c>
      <c r="F63" s="11">
        <v>0.75</v>
      </c>
      <c r="G63" s="11"/>
      <c r="H63" s="11">
        <v>1.9</v>
      </c>
      <c r="I63" s="12">
        <f t="shared" si="2"/>
        <v>-34.199999999999996</v>
      </c>
      <c r="J63" s="5"/>
      <c r="O63" s="11">
        <v>4</v>
      </c>
      <c r="P63">
        <f t="shared" si="1"/>
        <v>0</v>
      </c>
    </row>
    <row r="64" spans="1:16">
      <c r="A64" s="4"/>
      <c r="B64" s="10" t="s">
        <v>54</v>
      </c>
      <c r="C64" s="10" t="s">
        <v>18</v>
      </c>
      <c r="D64" s="11">
        <f>+D63</f>
        <v>-6</v>
      </c>
      <c r="E64" s="11">
        <v>4</v>
      </c>
      <c r="F64" s="11">
        <v>1.5</v>
      </c>
      <c r="G64" s="11"/>
      <c r="H64" s="11">
        <f>2.7-0.915-0.435</f>
        <v>1.35</v>
      </c>
      <c r="I64" s="12">
        <f t="shared" si="2"/>
        <v>-48.6</v>
      </c>
      <c r="J64" s="5"/>
      <c r="O64" s="11">
        <v>4</v>
      </c>
      <c r="P64">
        <f t="shared" si="1"/>
        <v>0</v>
      </c>
    </row>
    <row r="65" spans="1:16">
      <c r="A65" s="4"/>
      <c r="B65" s="10" t="s">
        <v>46</v>
      </c>
      <c r="C65" s="10" t="s">
        <v>18</v>
      </c>
      <c r="D65" s="11">
        <f>+D64</f>
        <v>-6</v>
      </c>
      <c r="E65" s="11">
        <v>4</v>
      </c>
      <c r="F65" s="11">
        <v>0.9</v>
      </c>
      <c r="G65" s="11"/>
      <c r="H65" s="11">
        <v>1.2</v>
      </c>
      <c r="I65" s="12">
        <f t="shared" si="2"/>
        <v>-25.92</v>
      </c>
      <c r="J65" s="5"/>
      <c r="O65" s="11">
        <v>4</v>
      </c>
      <c r="P65">
        <f t="shared" si="1"/>
        <v>0</v>
      </c>
    </row>
    <row r="66" spans="1:16">
      <c r="A66" s="4"/>
      <c r="B66" s="13" t="s">
        <v>20</v>
      </c>
      <c r="C66" s="10"/>
      <c r="D66" s="11"/>
      <c r="E66" s="11"/>
      <c r="F66" s="11"/>
      <c r="G66" s="11"/>
      <c r="H66" s="11"/>
      <c r="I66" s="12"/>
      <c r="J66" s="5"/>
      <c r="O66" s="11">
        <v>0</v>
      </c>
      <c r="P66">
        <f t="shared" si="1"/>
        <v>0</v>
      </c>
    </row>
    <row r="67" spans="1:16">
      <c r="A67" s="4"/>
      <c r="B67" s="10" t="s">
        <v>55</v>
      </c>
      <c r="C67" s="10" t="s">
        <v>18</v>
      </c>
      <c r="D67" s="11">
        <v>1</v>
      </c>
      <c r="E67" s="11">
        <v>4</v>
      </c>
      <c r="F67" s="11">
        <v>29.5</v>
      </c>
      <c r="G67" s="11">
        <v>1.8</v>
      </c>
      <c r="H67" s="11"/>
      <c r="I67" s="12">
        <f>+PRODUCT(D67:H67)</f>
        <v>212.4</v>
      </c>
      <c r="J67" s="5"/>
      <c r="O67" s="11">
        <v>4</v>
      </c>
      <c r="P67">
        <f t="shared" si="1"/>
        <v>0</v>
      </c>
    </row>
    <row r="68" spans="1:16">
      <c r="A68" s="4"/>
      <c r="B68" s="10" t="s">
        <v>30</v>
      </c>
      <c r="C68" s="10" t="s">
        <v>18</v>
      </c>
      <c r="D68" s="11">
        <v>1</v>
      </c>
      <c r="E68" s="11">
        <v>8</v>
      </c>
      <c r="F68" s="11">
        <v>29.5</v>
      </c>
      <c r="G68" s="11"/>
      <c r="H68" s="11">
        <v>2.7</v>
      </c>
      <c r="I68" s="12">
        <f>+PRODUCT(D68:H68)</f>
        <v>637.20000000000005</v>
      </c>
      <c r="J68" s="5"/>
      <c r="O68" s="11">
        <v>8</v>
      </c>
      <c r="P68">
        <f t="shared" si="1"/>
        <v>0</v>
      </c>
    </row>
    <row r="69" spans="1:16">
      <c r="A69" s="4"/>
      <c r="B69" s="10" t="s">
        <v>31</v>
      </c>
      <c r="C69" s="10" t="s">
        <v>18</v>
      </c>
      <c r="D69" s="11">
        <v>1</v>
      </c>
      <c r="E69" s="11">
        <v>8</v>
      </c>
      <c r="F69" s="11">
        <v>1.8</v>
      </c>
      <c r="G69" s="11"/>
      <c r="H69" s="11">
        <v>2.7</v>
      </c>
      <c r="I69" s="12">
        <f>+PRODUCT(D69:H69)</f>
        <v>38.880000000000003</v>
      </c>
      <c r="J69" s="5"/>
      <c r="O69" s="11">
        <v>8</v>
      </c>
      <c r="P69">
        <f t="shared" si="1"/>
        <v>0</v>
      </c>
    </row>
    <row r="70" spans="1:16">
      <c r="A70" s="4"/>
      <c r="B70" s="13" t="s">
        <v>36</v>
      </c>
      <c r="C70" s="10"/>
      <c r="D70" s="11"/>
      <c r="E70" s="11"/>
      <c r="F70" s="11"/>
      <c r="G70" s="11"/>
      <c r="H70" s="11"/>
      <c r="I70" s="12"/>
      <c r="J70" s="5"/>
      <c r="O70" s="11">
        <v>0</v>
      </c>
      <c r="P70">
        <f t="shared" si="1"/>
        <v>0</v>
      </c>
    </row>
    <row r="71" spans="1:16">
      <c r="A71" s="4"/>
      <c r="B71" s="10" t="s">
        <v>56</v>
      </c>
      <c r="C71" s="10" t="s">
        <v>18</v>
      </c>
      <c r="D71" s="11">
        <v>-1</v>
      </c>
      <c r="E71" s="11">
        <v>48</v>
      </c>
      <c r="F71" s="11">
        <v>0.9</v>
      </c>
      <c r="G71" s="11"/>
      <c r="H71" s="11">
        <v>1.9</v>
      </c>
      <c r="I71" s="12">
        <f>+PRODUCT(D71:H71)</f>
        <v>-82.08</v>
      </c>
      <c r="J71" s="5"/>
      <c r="O71" s="11">
        <v>48</v>
      </c>
      <c r="P71">
        <f t="shared" si="1"/>
        <v>0</v>
      </c>
    </row>
    <row r="72" spans="1:16">
      <c r="A72" s="4"/>
      <c r="B72" s="10" t="s">
        <v>54</v>
      </c>
      <c r="C72" s="10" t="s">
        <v>18</v>
      </c>
      <c r="D72" s="11">
        <v>-1</v>
      </c>
      <c r="E72" s="11">
        <v>8</v>
      </c>
      <c r="F72" s="11">
        <v>1.8</v>
      </c>
      <c r="G72" s="11"/>
      <c r="H72" s="11">
        <v>1.4</v>
      </c>
      <c r="I72" s="12">
        <f>+PRODUCT(D72:H72)</f>
        <v>-20.16</v>
      </c>
      <c r="J72" s="5"/>
      <c r="O72" s="11">
        <v>8</v>
      </c>
      <c r="P72">
        <f t="shared" si="1"/>
        <v>0</v>
      </c>
    </row>
    <row r="73" spans="1:16">
      <c r="A73" s="4"/>
      <c r="B73" s="10" t="s">
        <v>57</v>
      </c>
      <c r="C73" s="10" t="s">
        <v>18</v>
      </c>
      <c r="D73" s="11">
        <v>-1</v>
      </c>
      <c r="E73" s="11">
        <v>4</v>
      </c>
      <c r="F73" s="11">
        <v>2.2000000000000002</v>
      </c>
      <c r="G73" s="11"/>
      <c r="H73" s="11">
        <v>2.2999999999999998</v>
      </c>
      <c r="I73" s="12">
        <f>+PRODUCT(D73:H73)</f>
        <v>-20.239999999999998</v>
      </c>
      <c r="J73" s="5"/>
      <c r="O73" s="11">
        <v>4</v>
      </c>
      <c r="P73">
        <f t="shared" si="1"/>
        <v>0</v>
      </c>
    </row>
    <row r="74" spans="1:16">
      <c r="A74" s="4"/>
      <c r="B74" s="10" t="s">
        <v>58</v>
      </c>
      <c r="C74" s="10" t="s">
        <v>18</v>
      </c>
      <c r="D74" s="11">
        <v>1</v>
      </c>
      <c r="E74" s="11">
        <v>4</v>
      </c>
      <c r="F74" s="11">
        <v>6.7</v>
      </c>
      <c r="G74" s="11"/>
      <c r="H74" s="11">
        <v>0.2</v>
      </c>
      <c r="I74" s="12">
        <f>+PRODUCT(D74:H74)</f>
        <v>5.36</v>
      </c>
      <c r="J74" s="5"/>
      <c r="O74" s="11">
        <v>4</v>
      </c>
      <c r="P74">
        <f t="shared" si="1"/>
        <v>0</v>
      </c>
    </row>
    <row r="75" spans="1:16">
      <c r="A75" s="4"/>
      <c r="B75" s="10" t="s">
        <v>46</v>
      </c>
      <c r="C75" s="10" t="s">
        <v>18</v>
      </c>
      <c r="D75" s="11">
        <v>-1</v>
      </c>
      <c r="E75" s="11">
        <v>20</v>
      </c>
      <c r="F75" s="11">
        <v>0.9</v>
      </c>
      <c r="G75" s="11"/>
      <c r="H75" s="11">
        <v>1.2</v>
      </c>
      <c r="I75" s="12">
        <f>+PRODUCT(D75:H75)</f>
        <v>-21.599999999999998</v>
      </c>
      <c r="J75" s="5"/>
      <c r="O75" s="11">
        <v>20</v>
      </c>
      <c r="P75">
        <f t="shared" ref="P75:P134" si="6">+O75-E75</f>
        <v>0</v>
      </c>
    </row>
    <row r="76" spans="1:16">
      <c r="A76" s="4"/>
      <c r="B76" s="13" t="s">
        <v>59</v>
      </c>
      <c r="C76" s="10"/>
      <c r="D76" s="11"/>
      <c r="E76" s="11"/>
      <c r="F76" s="11"/>
      <c r="G76" s="11"/>
      <c r="H76" s="11"/>
      <c r="I76" s="12"/>
      <c r="J76" s="5"/>
      <c r="O76" s="11">
        <v>0</v>
      </c>
      <c r="P76">
        <f t="shared" si="6"/>
        <v>0</v>
      </c>
    </row>
    <row r="77" spans="1:16">
      <c r="A77" s="4"/>
      <c r="B77" s="18" t="s">
        <v>23</v>
      </c>
      <c r="C77" s="17"/>
      <c r="D77" s="17"/>
      <c r="E77" s="7"/>
      <c r="F77" s="8"/>
      <c r="G77" s="8"/>
      <c r="H77" s="8"/>
      <c r="I77" s="9"/>
      <c r="J77" s="5"/>
      <c r="O77" s="7">
        <v>0</v>
      </c>
      <c r="P77">
        <f t="shared" si="6"/>
        <v>0</v>
      </c>
    </row>
    <row r="78" spans="1:16">
      <c r="A78" s="4"/>
      <c r="B78" s="10" t="s">
        <v>24</v>
      </c>
      <c r="C78" s="10" t="s">
        <v>18</v>
      </c>
      <c r="D78" s="11">
        <v>6</v>
      </c>
      <c r="E78" s="11">
        <v>4</v>
      </c>
      <c r="F78" s="11">
        <v>4.25</v>
      </c>
      <c r="G78" s="11">
        <v>2.5</v>
      </c>
      <c r="H78" s="11"/>
      <c r="I78" s="12">
        <f t="shared" ref="I78:I82" si="7">+PRODUCT(D78:H78)</f>
        <v>255</v>
      </c>
      <c r="J78" s="5"/>
      <c r="O78" s="11">
        <v>4</v>
      </c>
      <c r="P78">
        <f t="shared" si="6"/>
        <v>0</v>
      </c>
    </row>
    <row r="79" spans="1:16">
      <c r="A79" s="4"/>
      <c r="B79" s="10" t="s">
        <v>25</v>
      </c>
      <c r="C79" s="10" t="s">
        <v>18</v>
      </c>
      <c r="D79" s="11">
        <v>6</v>
      </c>
      <c r="E79" s="11">
        <v>4</v>
      </c>
      <c r="F79" s="11">
        <v>3.05</v>
      </c>
      <c r="G79" s="11">
        <v>2.8</v>
      </c>
      <c r="H79" s="11"/>
      <c r="I79" s="12">
        <f t="shared" si="7"/>
        <v>204.95999999999995</v>
      </c>
      <c r="J79" s="5"/>
      <c r="O79" s="11">
        <v>4</v>
      </c>
      <c r="P79">
        <f t="shared" si="6"/>
        <v>0</v>
      </c>
    </row>
    <row r="80" spans="1:16">
      <c r="A80" s="4"/>
      <c r="B80" s="10" t="s">
        <v>26</v>
      </c>
      <c r="C80" s="10" t="s">
        <v>18</v>
      </c>
      <c r="D80" s="11">
        <v>6</v>
      </c>
      <c r="E80" s="11">
        <v>4</v>
      </c>
      <c r="F80" s="11">
        <v>2.4</v>
      </c>
      <c r="G80" s="11">
        <v>1.5</v>
      </c>
      <c r="H80" s="11"/>
      <c r="I80" s="12">
        <f t="shared" si="7"/>
        <v>86.399999999999991</v>
      </c>
      <c r="J80" s="5"/>
      <c r="O80" s="11">
        <v>4</v>
      </c>
      <c r="P80">
        <f t="shared" si="6"/>
        <v>0</v>
      </c>
    </row>
    <row r="81" spans="1:16">
      <c r="A81" s="4"/>
      <c r="B81" s="10" t="s">
        <v>27</v>
      </c>
      <c r="C81" s="10" t="s">
        <v>18</v>
      </c>
      <c r="D81" s="11">
        <v>6</v>
      </c>
      <c r="E81" s="11">
        <v>4</v>
      </c>
      <c r="F81" s="11">
        <v>1.3</v>
      </c>
      <c r="G81" s="11">
        <v>0.9</v>
      </c>
      <c r="H81" s="11"/>
      <c r="I81" s="12">
        <f t="shared" si="7"/>
        <v>28.080000000000002</v>
      </c>
      <c r="J81" s="5"/>
      <c r="O81" s="11">
        <v>4</v>
      </c>
      <c r="P81">
        <f t="shared" si="6"/>
        <v>0</v>
      </c>
    </row>
    <row r="82" spans="1:16">
      <c r="A82" s="4"/>
      <c r="B82" s="10" t="s">
        <v>28</v>
      </c>
      <c r="C82" s="10" t="s">
        <v>18</v>
      </c>
      <c r="D82" s="11">
        <v>6</v>
      </c>
      <c r="E82" s="11">
        <v>4</v>
      </c>
      <c r="F82" s="11">
        <v>1.5</v>
      </c>
      <c r="G82" s="11">
        <v>1.2</v>
      </c>
      <c r="H82" s="11"/>
      <c r="I82" s="12">
        <f t="shared" si="7"/>
        <v>43.199999999999996</v>
      </c>
      <c r="J82" s="5"/>
      <c r="O82" s="11">
        <v>4</v>
      </c>
      <c r="P82">
        <f t="shared" si="6"/>
        <v>0</v>
      </c>
    </row>
    <row r="83" spans="1:16">
      <c r="A83" s="4"/>
      <c r="B83" s="13" t="s">
        <v>17</v>
      </c>
      <c r="C83" s="10"/>
      <c r="D83" s="11"/>
      <c r="E83" s="11"/>
      <c r="F83" s="11"/>
      <c r="G83" s="11"/>
      <c r="H83" s="11"/>
      <c r="I83" s="12"/>
      <c r="J83" s="5"/>
      <c r="O83" s="11">
        <v>0</v>
      </c>
      <c r="P83">
        <f t="shared" si="6"/>
        <v>0</v>
      </c>
    </row>
    <row r="84" spans="1:16">
      <c r="A84" s="4"/>
      <c r="B84" s="10" t="s">
        <v>30</v>
      </c>
      <c r="C84" s="10" t="s">
        <v>18</v>
      </c>
      <c r="D84" s="11">
        <v>6</v>
      </c>
      <c r="E84" s="11">
        <v>8</v>
      </c>
      <c r="F84" s="11">
        <v>4.25</v>
      </c>
      <c r="G84" s="11"/>
      <c r="H84" s="11">
        <v>2.7</v>
      </c>
      <c r="I84" s="12">
        <f t="shared" ref="I84:I85" si="8">+PRODUCT(D84:H84)</f>
        <v>550.80000000000007</v>
      </c>
      <c r="J84" s="5"/>
      <c r="O84" s="11">
        <v>8</v>
      </c>
      <c r="P84">
        <f t="shared" si="6"/>
        <v>0</v>
      </c>
    </row>
    <row r="85" spans="1:16">
      <c r="A85" s="4"/>
      <c r="B85" s="10" t="s">
        <v>31</v>
      </c>
      <c r="C85" s="10" t="s">
        <v>18</v>
      </c>
      <c r="D85" s="11">
        <f>+D84</f>
        <v>6</v>
      </c>
      <c r="E85" s="11">
        <v>8</v>
      </c>
      <c r="F85" s="11">
        <f>1.6+0.9</f>
        <v>2.5</v>
      </c>
      <c r="G85" s="11"/>
      <c r="H85" s="11">
        <f>+H84</f>
        <v>2.7</v>
      </c>
      <c r="I85" s="12">
        <f t="shared" si="8"/>
        <v>324</v>
      </c>
      <c r="J85" s="5"/>
      <c r="O85" s="11">
        <v>8</v>
      </c>
      <c r="P85">
        <f t="shared" si="6"/>
        <v>0</v>
      </c>
    </row>
    <row r="86" spans="1:16">
      <c r="A86" s="4"/>
      <c r="B86" s="10" t="s">
        <v>32</v>
      </c>
      <c r="C86" s="10" t="s">
        <v>18</v>
      </c>
      <c r="D86" s="14">
        <f>+D85</f>
        <v>6</v>
      </c>
      <c r="E86" s="14">
        <v>12</v>
      </c>
      <c r="F86" s="14">
        <v>0.3</v>
      </c>
      <c r="G86" s="14"/>
      <c r="H86" s="14">
        <f>0.2+0.2+0.88+0.075</f>
        <v>1.355</v>
      </c>
      <c r="I86" s="12">
        <f>+PRODUCT(D86:H86)</f>
        <v>29.267999999999997</v>
      </c>
      <c r="J86" s="5"/>
      <c r="O86" s="14">
        <v>12</v>
      </c>
      <c r="P86">
        <f t="shared" si="6"/>
        <v>0</v>
      </c>
    </row>
    <row r="87" spans="1:16">
      <c r="A87" s="4"/>
      <c r="B87" s="10"/>
      <c r="C87" s="10" t="s">
        <v>18</v>
      </c>
      <c r="D87" s="14">
        <f t="shared" ref="D87:D90" si="9">+D86</f>
        <v>6</v>
      </c>
      <c r="E87" s="14">
        <v>12</v>
      </c>
      <c r="F87" s="14">
        <v>0.45</v>
      </c>
      <c r="G87" s="14"/>
      <c r="H87" s="14">
        <f>0.23+0.36+0.05</f>
        <v>0.64</v>
      </c>
      <c r="I87" s="12">
        <f>+PRODUCT(D87:H87)</f>
        <v>20.736000000000001</v>
      </c>
      <c r="J87" s="5"/>
      <c r="O87" s="14">
        <v>12</v>
      </c>
      <c r="P87">
        <f t="shared" si="6"/>
        <v>0</v>
      </c>
    </row>
    <row r="88" spans="1:16">
      <c r="A88" s="4"/>
      <c r="B88" s="10" t="s">
        <v>34</v>
      </c>
      <c r="C88" s="10" t="s">
        <v>18</v>
      </c>
      <c r="D88" s="14">
        <f t="shared" si="9"/>
        <v>6</v>
      </c>
      <c r="E88" s="14">
        <v>16</v>
      </c>
      <c r="F88" s="14">
        <v>0.8</v>
      </c>
      <c r="G88" s="14">
        <v>0.45</v>
      </c>
      <c r="H88" s="14"/>
      <c r="I88" s="12">
        <f>+PRODUCT(D88:H88)</f>
        <v>34.560000000000009</v>
      </c>
      <c r="J88" s="5"/>
      <c r="O88" s="14">
        <v>16</v>
      </c>
      <c r="P88">
        <f t="shared" si="6"/>
        <v>0</v>
      </c>
    </row>
    <row r="89" spans="1:16">
      <c r="A89" s="4"/>
      <c r="B89" s="10"/>
      <c r="C89" s="10" t="s">
        <v>18</v>
      </c>
      <c r="D89" s="14">
        <f t="shared" si="9"/>
        <v>6</v>
      </c>
      <c r="E89" s="14">
        <v>24</v>
      </c>
      <c r="F89" s="14">
        <v>0.8</v>
      </c>
      <c r="G89" s="14">
        <v>0.3</v>
      </c>
      <c r="H89" s="14"/>
      <c r="I89" s="12">
        <f>+PRODUCT(D89:H89)</f>
        <v>34.56</v>
      </c>
      <c r="J89" s="5"/>
      <c r="O89" s="14">
        <v>24</v>
      </c>
      <c r="P89">
        <f t="shared" si="6"/>
        <v>0</v>
      </c>
    </row>
    <row r="90" spans="1:16">
      <c r="A90" s="4"/>
      <c r="B90" s="10" t="s">
        <v>35</v>
      </c>
      <c r="C90" s="10" t="s">
        <v>18</v>
      </c>
      <c r="D90" s="14">
        <f t="shared" si="9"/>
        <v>6</v>
      </c>
      <c r="E90" s="14">
        <v>16</v>
      </c>
      <c r="F90" s="14">
        <v>0.5</v>
      </c>
      <c r="G90" s="14">
        <v>0.3</v>
      </c>
      <c r="H90" s="14"/>
      <c r="I90" s="12">
        <f>+PRODUCT(D90:H90)</f>
        <v>14.399999999999999</v>
      </c>
      <c r="J90" s="5"/>
      <c r="O90" s="14">
        <v>16</v>
      </c>
      <c r="P90">
        <f t="shared" si="6"/>
        <v>0</v>
      </c>
    </row>
    <row r="91" spans="1:16">
      <c r="A91" s="4"/>
      <c r="B91" s="13" t="s">
        <v>36</v>
      </c>
      <c r="C91" s="10"/>
      <c r="D91" s="11"/>
      <c r="E91" s="11"/>
      <c r="F91" s="11"/>
      <c r="G91" s="11"/>
      <c r="H91" s="11"/>
      <c r="I91" s="12"/>
      <c r="J91" s="5"/>
      <c r="O91" s="11">
        <v>0</v>
      </c>
      <c r="P91">
        <f t="shared" si="6"/>
        <v>0</v>
      </c>
    </row>
    <row r="92" spans="1:16">
      <c r="A92" s="4"/>
      <c r="B92" s="10" t="s">
        <v>37</v>
      </c>
      <c r="C92" s="10" t="s">
        <v>18</v>
      </c>
      <c r="D92" s="11">
        <v>-6</v>
      </c>
      <c r="E92" s="11">
        <v>4</v>
      </c>
      <c r="F92" s="11">
        <v>0.9</v>
      </c>
      <c r="G92" s="11"/>
      <c r="H92" s="11">
        <v>1.9</v>
      </c>
      <c r="I92" s="12">
        <f t="shared" ref="I92:I100" si="10">+PRODUCT(D92:H92)</f>
        <v>-41.04</v>
      </c>
      <c r="J92" s="5"/>
      <c r="O92" s="11">
        <v>4</v>
      </c>
      <c r="P92">
        <f t="shared" si="6"/>
        <v>0</v>
      </c>
    </row>
    <row r="93" spans="1:16">
      <c r="A93" s="4"/>
      <c r="B93" s="10" t="s">
        <v>38</v>
      </c>
      <c r="C93" s="10" t="s">
        <v>18</v>
      </c>
      <c r="D93" s="11">
        <v>-6</v>
      </c>
      <c r="E93" s="11">
        <v>4</v>
      </c>
      <c r="F93" s="11">
        <v>0.9</v>
      </c>
      <c r="G93" s="11"/>
      <c r="H93" s="11">
        <v>1.9</v>
      </c>
      <c r="I93" s="12">
        <f t="shared" si="10"/>
        <v>-41.04</v>
      </c>
      <c r="J93" s="5"/>
      <c r="O93" s="11">
        <v>4</v>
      </c>
      <c r="P93">
        <f t="shared" si="6"/>
        <v>0</v>
      </c>
    </row>
    <row r="94" spans="1:16">
      <c r="A94" s="4"/>
      <c r="B94" s="10" t="s">
        <v>39</v>
      </c>
      <c r="C94" s="10" t="s">
        <v>18</v>
      </c>
      <c r="D94" s="11">
        <v>-6</v>
      </c>
      <c r="E94" s="11">
        <v>4</v>
      </c>
      <c r="F94" s="11">
        <v>0.8</v>
      </c>
      <c r="G94" s="11"/>
      <c r="H94" s="11">
        <v>1.9</v>
      </c>
      <c r="I94" s="12">
        <f t="shared" si="10"/>
        <v>-36.480000000000004</v>
      </c>
      <c r="J94" s="5"/>
      <c r="O94" s="11">
        <v>4</v>
      </c>
      <c r="P94">
        <f t="shared" si="6"/>
        <v>0</v>
      </c>
    </row>
    <row r="95" spans="1:16">
      <c r="A95" s="4"/>
      <c r="B95" s="10" t="s">
        <v>40</v>
      </c>
      <c r="C95" s="10" t="s">
        <v>18</v>
      </c>
      <c r="D95" s="11">
        <v>-6</v>
      </c>
      <c r="E95" s="11">
        <v>4</v>
      </c>
      <c r="F95" s="11">
        <v>0.75</v>
      </c>
      <c r="G95" s="11"/>
      <c r="H95" s="11">
        <v>1.9</v>
      </c>
      <c r="I95" s="12">
        <f t="shared" si="10"/>
        <v>-34.199999999999996</v>
      </c>
      <c r="J95" s="5"/>
      <c r="O95" s="11">
        <v>4</v>
      </c>
      <c r="P95">
        <f t="shared" si="6"/>
        <v>0</v>
      </c>
    </row>
    <row r="96" spans="1:16">
      <c r="A96" s="4"/>
      <c r="B96" s="10" t="s">
        <v>41</v>
      </c>
      <c r="C96" s="10" t="s">
        <v>18</v>
      </c>
      <c r="D96" s="11">
        <v>-6</v>
      </c>
      <c r="E96" s="11">
        <v>4</v>
      </c>
      <c r="F96" s="11">
        <v>0.75</v>
      </c>
      <c r="G96" s="11"/>
      <c r="H96" s="11">
        <v>1.9</v>
      </c>
      <c r="I96" s="12">
        <f t="shared" si="10"/>
        <v>-34.199999999999996</v>
      </c>
      <c r="J96" s="5"/>
      <c r="O96" s="11">
        <v>4</v>
      </c>
      <c r="P96">
        <f t="shared" si="6"/>
        <v>0</v>
      </c>
    </row>
    <row r="97" spans="1:16">
      <c r="A97" s="4"/>
      <c r="B97" s="10" t="s">
        <v>42</v>
      </c>
      <c r="C97" s="10" t="s">
        <v>18</v>
      </c>
      <c r="D97" s="11">
        <v>-6</v>
      </c>
      <c r="E97" s="11">
        <v>4</v>
      </c>
      <c r="F97" s="11">
        <v>0.9</v>
      </c>
      <c r="G97" s="11"/>
      <c r="H97" s="11">
        <v>1.2</v>
      </c>
      <c r="I97" s="12">
        <f t="shared" si="10"/>
        <v>-25.92</v>
      </c>
      <c r="J97" s="5"/>
      <c r="O97" s="11">
        <v>4</v>
      </c>
      <c r="P97">
        <f t="shared" si="6"/>
        <v>0</v>
      </c>
    </row>
    <row r="98" spans="1:16">
      <c r="A98" s="4"/>
      <c r="B98" s="13" t="s">
        <v>43</v>
      </c>
      <c r="C98" s="10"/>
      <c r="D98" s="11"/>
      <c r="E98" s="11"/>
      <c r="F98" s="11"/>
      <c r="G98" s="11"/>
      <c r="H98" s="11"/>
      <c r="I98" s="12">
        <f t="shared" si="10"/>
        <v>0</v>
      </c>
      <c r="J98" s="5"/>
      <c r="O98" s="11">
        <v>0</v>
      </c>
      <c r="P98">
        <f t="shared" si="6"/>
        <v>0</v>
      </c>
    </row>
    <row r="99" spans="1:16">
      <c r="A99" s="4"/>
      <c r="B99" s="10" t="s">
        <v>30</v>
      </c>
      <c r="C99" s="10" t="s">
        <v>18</v>
      </c>
      <c r="D99" s="11">
        <f>+D85</f>
        <v>6</v>
      </c>
      <c r="E99" s="11">
        <v>8</v>
      </c>
      <c r="F99" s="11">
        <v>3.05</v>
      </c>
      <c r="G99" s="11"/>
      <c r="H99" s="11">
        <v>2.7</v>
      </c>
      <c r="I99" s="12">
        <f t="shared" si="10"/>
        <v>395.28</v>
      </c>
      <c r="J99" s="5"/>
      <c r="O99" s="11">
        <v>8</v>
      </c>
      <c r="P99">
        <f t="shared" si="6"/>
        <v>0</v>
      </c>
    </row>
    <row r="100" spans="1:16">
      <c r="A100" s="4"/>
      <c r="B100" s="10" t="s">
        <v>31</v>
      </c>
      <c r="C100" s="10" t="s">
        <v>18</v>
      </c>
      <c r="D100" s="11">
        <f>+D99</f>
        <v>6</v>
      </c>
      <c r="E100" s="11">
        <v>8</v>
      </c>
      <c r="F100" s="11">
        <v>2.8</v>
      </c>
      <c r="G100" s="11"/>
      <c r="H100" s="11">
        <v>2.7</v>
      </c>
      <c r="I100" s="12">
        <f t="shared" si="10"/>
        <v>362.87999999999994</v>
      </c>
      <c r="J100" s="5"/>
      <c r="O100" s="11">
        <v>8</v>
      </c>
      <c r="P100">
        <f t="shared" si="6"/>
        <v>0</v>
      </c>
    </row>
    <row r="101" spans="1:16">
      <c r="A101" s="4"/>
      <c r="B101" s="10" t="s">
        <v>32</v>
      </c>
      <c r="C101" s="19" t="s">
        <v>18</v>
      </c>
      <c r="D101" s="14">
        <f>+D100</f>
        <v>6</v>
      </c>
      <c r="E101" s="14">
        <v>12</v>
      </c>
      <c r="F101" s="14">
        <v>0.3</v>
      </c>
      <c r="G101" s="14"/>
      <c r="H101" s="14">
        <f>0.325*3+0.55</f>
        <v>1.5250000000000001</v>
      </c>
      <c r="I101" s="20">
        <f>+PRODUCT(D101:H101)</f>
        <v>32.94</v>
      </c>
      <c r="J101" s="5"/>
      <c r="O101" s="14">
        <v>12</v>
      </c>
      <c r="P101">
        <f t="shared" si="6"/>
        <v>0</v>
      </c>
    </row>
    <row r="102" spans="1:16">
      <c r="A102" s="4"/>
      <c r="B102" s="10" t="s">
        <v>34</v>
      </c>
      <c r="C102" s="19" t="s">
        <v>18</v>
      </c>
      <c r="D102" s="14">
        <f>+D101</f>
        <v>6</v>
      </c>
      <c r="E102" s="14">
        <v>32</v>
      </c>
      <c r="F102" s="14">
        <v>1.05</v>
      </c>
      <c r="G102" s="14">
        <v>0.3</v>
      </c>
      <c r="H102" s="14"/>
      <c r="I102" s="20">
        <f>+PRODUCT(D102:H102)</f>
        <v>60.480000000000004</v>
      </c>
      <c r="J102" s="5"/>
      <c r="O102" s="14">
        <v>32</v>
      </c>
      <c r="P102">
        <f t="shared" si="6"/>
        <v>0</v>
      </c>
    </row>
    <row r="103" spans="1:16">
      <c r="A103" s="4"/>
      <c r="B103" s="19" t="s">
        <v>44</v>
      </c>
      <c r="C103" s="19" t="s">
        <v>18</v>
      </c>
      <c r="D103" s="14">
        <f>+D102</f>
        <v>6</v>
      </c>
      <c r="E103" s="14">
        <v>8</v>
      </c>
      <c r="F103" s="14">
        <v>2.4</v>
      </c>
      <c r="G103" s="14">
        <v>0.45</v>
      </c>
      <c r="H103" s="14"/>
      <c r="I103" s="20">
        <f>+PRODUCT(D103:H103)</f>
        <v>51.839999999999996</v>
      </c>
      <c r="J103" s="5"/>
      <c r="O103" s="14">
        <v>8</v>
      </c>
      <c r="P103">
        <f t="shared" si="6"/>
        <v>0</v>
      </c>
    </row>
    <row r="104" spans="1:16">
      <c r="A104" s="4"/>
      <c r="B104" s="13" t="s">
        <v>36</v>
      </c>
      <c r="C104" s="10"/>
      <c r="D104" s="11"/>
      <c r="E104" s="11"/>
      <c r="F104" s="11"/>
      <c r="G104" s="11"/>
      <c r="H104" s="11"/>
      <c r="I104" s="12"/>
      <c r="J104" s="5"/>
      <c r="O104" s="11">
        <v>0</v>
      </c>
      <c r="P104">
        <f t="shared" si="6"/>
        <v>0</v>
      </c>
    </row>
    <row r="105" spans="1:16">
      <c r="A105" s="4"/>
      <c r="B105" s="10" t="s">
        <v>45</v>
      </c>
      <c r="C105" s="10" t="s">
        <v>18</v>
      </c>
      <c r="D105" s="11">
        <f>+D96</f>
        <v>-6</v>
      </c>
      <c r="E105" s="11">
        <v>4</v>
      </c>
      <c r="F105" s="11">
        <v>0.9</v>
      </c>
      <c r="G105" s="11"/>
      <c r="H105" s="11">
        <v>1.9</v>
      </c>
      <c r="I105" s="12">
        <f t="shared" ref="I105:I109" si="11">+PRODUCT(D105:H105)</f>
        <v>-41.04</v>
      </c>
      <c r="J105" s="5"/>
      <c r="O105" s="11">
        <v>4</v>
      </c>
      <c r="P105">
        <f t="shared" si="6"/>
        <v>0</v>
      </c>
    </row>
    <row r="106" spans="1:16">
      <c r="A106" s="4"/>
      <c r="B106" s="10" t="s">
        <v>46</v>
      </c>
      <c r="C106" s="10" t="s">
        <v>18</v>
      </c>
      <c r="D106" s="11">
        <f>+D97</f>
        <v>-6</v>
      </c>
      <c r="E106" s="11">
        <v>4</v>
      </c>
      <c r="F106" s="11">
        <v>0.9</v>
      </c>
      <c r="G106" s="11"/>
      <c r="H106" s="11">
        <v>1.2</v>
      </c>
      <c r="I106" s="12">
        <f t="shared" si="11"/>
        <v>-25.92</v>
      </c>
      <c r="J106" s="5"/>
      <c r="O106" s="11">
        <v>4</v>
      </c>
      <c r="P106">
        <f t="shared" si="6"/>
        <v>0</v>
      </c>
    </row>
    <row r="107" spans="1:16">
      <c r="A107" s="4"/>
      <c r="B107" s="13" t="s">
        <v>19</v>
      </c>
      <c r="C107" s="10"/>
      <c r="D107" s="11"/>
      <c r="E107" s="11"/>
      <c r="F107" s="11"/>
      <c r="G107" s="11"/>
      <c r="H107" s="11"/>
      <c r="I107" s="12">
        <f t="shared" si="11"/>
        <v>0</v>
      </c>
      <c r="J107" s="5"/>
      <c r="O107" s="11">
        <v>0</v>
      </c>
      <c r="P107">
        <f t="shared" si="6"/>
        <v>0</v>
      </c>
    </row>
    <row r="108" spans="1:16">
      <c r="A108" s="4"/>
      <c r="B108" s="10" t="s">
        <v>30</v>
      </c>
      <c r="C108" s="10" t="s">
        <v>18</v>
      </c>
      <c r="D108" s="11">
        <f>+D103</f>
        <v>6</v>
      </c>
      <c r="E108" s="11">
        <v>8</v>
      </c>
      <c r="F108" s="11">
        <v>2.4</v>
      </c>
      <c r="G108" s="11"/>
      <c r="H108" s="11">
        <v>2.7</v>
      </c>
      <c r="I108" s="12">
        <f t="shared" si="11"/>
        <v>311.03999999999996</v>
      </c>
      <c r="J108" s="5"/>
      <c r="O108" s="11">
        <v>8</v>
      </c>
      <c r="P108">
        <f t="shared" si="6"/>
        <v>0</v>
      </c>
    </row>
    <row r="109" spans="1:16">
      <c r="A109" s="4"/>
      <c r="B109" s="10" t="s">
        <v>31</v>
      </c>
      <c r="C109" s="10" t="s">
        <v>18</v>
      </c>
      <c r="D109" s="11">
        <f>+D108</f>
        <v>6</v>
      </c>
      <c r="E109" s="11">
        <v>8</v>
      </c>
      <c r="F109" s="11">
        <v>1.5</v>
      </c>
      <c r="G109" s="11"/>
      <c r="H109" s="11">
        <v>2.7</v>
      </c>
      <c r="I109" s="12">
        <f t="shared" si="11"/>
        <v>194.4</v>
      </c>
      <c r="J109" s="5"/>
      <c r="O109" s="11">
        <v>8</v>
      </c>
      <c r="P109">
        <f t="shared" si="6"/>
        <v>0</v>
      </c>
    </row>
    <row r="110" spans="1:16">
      <c r="A110" s="4"/>
      <c r="B110" s="10" t="s">
        <v>36</v>
      </c>
      <c r="C110" s="10"/>
      <c r="D110" s="11"/>
      <c r="E110" s="11"/>
      <c r="F110" s="11"/>
      <c r="G110" s="11"/>
      <c r="H110" s="11"/>
      <c r="I110" s="12"/>
      <c r="J110" s="5"/>
      <c r="O110" s="11">
        <v>0</v>
      </c>
      <c r="P110">
        <f t="shared" si="6"/>
        <v>0</v>
      </c>
    </row>
    <row r="111" spans="1:16">
      <c r="A111" s="4"/>
      <c r="B111" s="10" t="s">
        <v>47</v>
      </c>
      <c r="C111" s="10" t="s">
        <v>18</v>
      </c>
      <c r="D111" s="11">
        <f>+D105</f>
        <v>-6</v>
      </c>
      <c r="E111" s="11">
        <v>4</v>
      </c>
      <c r="F111" s="11">
        <v>3.6</v>
      </c>
      <c r="G111" s="11"/>
      <c r="H111" s="11">
        <v>1.2</v>
      </c>
      <c r="I111" s="12">
        <f t="shared" ref="I111:I122" si="12">+PRODUCT(D111:H111)</f>
        <v>-103.68</v>
      </c>
      <c r="J111" s="5"/>
      <c r="O111" s="11">
        <v>4</v>
      </c>
      <c r="P111">
        <f t="shared" si="6"/>
        <v>0</v>
      </c>
    </row>
    <row r="112" spans="1:16">
      <c r="A112" s="4"/>
      <c r="B112" s="13" t="s">
        <v>48</v>
      </c>
      <c r="C112" s="10"/>
      <c r="D112" s="11"/>
      <c r="E112" s="11"/>
      <c r="F112" s="11"/>
      <c r="G112" s="11"/>
      <c r="H112" s="11"/>
      <c r="I112" s="12">
        <f t="shared" si="12"/>
        <v>0</v>
      </c>
      <c r="J112" s="5"/>
      <c r="O112" s="11">
        <v>0</v>
      </c>
      <c r="P112">
        <f t="shared" si="6"/>
        <v>0</v>
      </c>
    </row>
    <row r="113" spans="1:16">
      <c r="A113" s="4"/>
      <c r="B113" s="10"/>
      <c r="C113" s="10" t="s">
        <v>18</v>
      </c>
      <c r="D113" s="11">
        <f>+D109</f>
        <v>6</v>
      </c>
      <c r="E113" s="11">
        <v>8</v>
      </c>
      <c r="F113" s="11"/>
      <c r="G113" s="11">
        <v>0.3</v>
      </c>
      <c r="H113" s="11">
        <v>2.13</v>
      </c>
      <c r="I113" s="12">
        <f t="shared" si="12"/>
        <v>30.671999999999997</v>
      </c>
      <c r="J113" s="5"/>
      <c r="O113" s="11">
        <v>8</v>
      </c>
      <c r="P113">
        <f t="shared" si="6"/>
        <v>0</v>
      </c>
    </row>
    <row r="114" spans="1:16">
      <c r="A114" s="4"/>
      <c r="B114" s="10"/>
      <c r="C114" s="10" t="s">
        <v>18</v>
      </c>
      <c r="D114" s="11">
        <f t="shared" ref="D114:D119" si="13">+D113</f>
        <v>6</v>
      </c>
      <c r="E114" s="11">
        <v>40</v>
      </c>
      <c r="F114" s="11">
        <v>0.45</v>
      </c>
      <c r="G114" s="11">
        <v>0.3</v>
      </c>
      <c r="H114" s="11"/>
      <c r="I114" s="12">
        <f t="shared" si="12"/>
        <v>32.4</v>
      </c>
      <c r="J114" s="5"/>
      <c r="O114" s="11">
        <v>40</v>
      </c>
      <c r="P114">
        <f t="shared" si="6"/>
        <v>0</v>
      </c>
    </row>
    <row r="115" spans="1:16">
      <c r="A115" s="4"/>
      <c r="B115" s="10" t="s">
        <v>44</v>
      </c>
      <c r="C115" s="10" t="s">
        <v>18</v>
      </c>
      <c r="D115" s="11">
        <f t="shared" si="13"/>
        <v>6</v>
      </c>
      <c r="E115" s="11">
        <v>8</v>
      </c>
      <c r="F115" s="11">
        <v>1.2</v>
      </c>
      <c r="G115" s="11">
        <v>0.45</v>
      </c>
      <c r="H115" s="11"/>
      <c r="I115" s="12">
        <f t="shared" si="12"/>
        <v>25.919999999999998</v>
      </c>
      <c r="J115" s="5"/>
      <c r="O115" s="11">
        <v>8</v>
      </c>
      <c r="P115">
        <f t="shared" si="6"/>
        <v>0</v>
      </c>
    </row>
    <row r="116" spans="1:16">
      <c r="A116" s="4"/>
      <c r="B116" s="10" t="s">
        <v>49</v>
      </c>
      <c r="C116" s="10" t="s">
        <v>18</v>
      </c>
      <c r="D116" s="11">
        <f t="shared" si="13"/>
        <v>6</v>
      </c>
      <c r="E116" s="11">
        <v>16</v>
      </c>
      <c r="F116" s="11"/>
      <c r="G116" s="11">
        <v>0.6</v>
      </c>
      <c r="H116" s="11">
        <v>0.7</v>
      </c>
      <c r="I116" s="12">
        <f t="shared" si="12"/>
        <v>40.319999999999993</v>
      </c>
      <c r="J116" s="5"/>
      <c r="O116" s="11">
        <v>16</v>
      </c>
      <c r="P116">
        <f t="shared" si="6"/>
        <v>0</v>
      </c>
    </row>
    <row r="117" spans="1:16">
      <c r="A117" s="4"/>
      <c r="B117" s="10"/>
      <c r="C117" s="10" t="s">
        <v>18</v>
      </c>
      <c r="D117" s="11">
        <f t="shared" si="13"/>
        <v>6</v>
      </c>
      <c r="E117" s="11">
        <v>16</v>
      </c>
      <c r="F117" s="11">
        <v>0.75</v>
      </c>
      <c r="G117" s="11">
        <v>0.6</v>
      </c>
      <c r="H117" s="11"/>
      <c r="I117" s="12">
        <f t="shared" si="12"/>
        <v>43.199999999999996</v>
      </c>
      <c r="J117" s="5"/>
      <c r="O117" s="11">
        <v>16</v>
      </c>
      <c r="P117">
        <f t="shared" si="6"/>
        <v>0</v>
      </c>
    </row>
    <row r="118" spans="1:16">
      <c r="A118" s="4"/>
      <c r="B118" s="10"/>
      <c r="C118" s="10" t="s">
        <v>18</v>
      </c>
      <c r="D118" s="11">
        <f t="shared" si="13"/>
        <v>6</v>
      </c>
      <c r="E118" s="11">
        <v>8</v>
      </c>
      <c r="F118" s="11">
        <v>0.5</v>
      </c>
      <c r="G118" s="11">
        <v>0.6</v>
      </c>
      <c r="H118" s="11"/>
      <c r="I118" s="12">
        <f t="shared" si="12"/>
        <v>14.399999999999999</v>
      </c>
      <c r="J118" s="5"/>
      <c r="O118" s="11">
        <v>8</v>
      </c>
      <c r="P118">
        <f t="shared" si="6"/>
        <v>0</v>
      </c>
    </row>
    <row r="119" spans="1:16">
      <c r="A119" s="4"/>
      <c r="B119" s="10"/>
      <c r="C119" s="10" t="s">
        <v>18</v>
      </c>
      <c r="D119" s="11">
        <f t="shared" si="13"/>
        <v>6</v>
      </c>
      <c r="E119" s="11">
        <v>4</v>
      </c>
      <c r="F119" s="11">
        <v>0.7</v>
      </c>
      <c r="G119" s="11">
        <v>0.6</v>
      </c>
      <c r="H119" s="11"/>
      <c r="I119" s="12">
        <f t="shared" si="12"/>
        <v>10.079999999999998</v>
      </c>
      <c r="J119" s="5"/>
      <c r="O119" s="11">
        <v>4</v>
      </c>
      <c r="P119">
        <f t="shared" si="6"/>
        <v>0</v>
      </c>
    </row>
    <row r="120" spans="1:16">
      <c r="A120" s="4"/>
      <c r="B120" s="13" t="s">
        <v>50</v>
      </c>
      <c r="C120" s="10"/>
      <c r="D120" s="11"/>
      <c r="E120" s="11"/>
      <c r="F120" s="11"/>
      <c r="G120" s="11"/>
      <c r="H120" s="11"/>
      <c r="I120" s="12">
        <f t="shared" si="12"/>
        <v>0</v>
      </c>
      <c r="J120" s="5"/>
      <c r="O120" s="11">
        <v>0</v>
      </c>
      <c r="P120">
        <f t="shared" si="6"/>
        <v>0</v>
      </c>
    </row>
    <row r="121" spans="1:16">
      <c r="A121" s="4"/>
      <c r="B121" s="10" t="s">
        <v>30</v>
      </c>
      <c r="C121" s="10" t="s">
        <v>18</v>
      </c>
      <c r="D121" s="11">
        <f>+D119</f>
        <v>6</v>
      </c>
      <c r="E121" s="11">
        <v>8</v>
      </c>
      <c r="F121" s="11">
        <v>1.5</v>
      </c>
      <c r="G121" s="11"/>
      <c r="H121" s="11">
        <v>0.6</v>
      </c>
      <c r="I121" s="12">
        <f t="shared" si="12"/>
        <v>43.199999999999996</v>
      </c>
      <c r="J121" s="5"/>
      <c r="O121" s="11">
        <v>8</v>
      </c>
      <c r="P121">
        <f t="shared" si="6"/>
        <v>0</v>
      </c>
    </row>
    <row r="122" spans="1:16">
      <c r="A122" s="4"/>
      <c r="B122" s="10" t="s">
        <v>31</v>
      </c>
      <c r="C122" s="10" t="s">
        <v>18</v>
      </c>
      <c r="D122" s="11">
        <f>+D121</f>
        <v>6</v>
      </c>
      <c r="E122" s="11">
        <v>8</v>
      </c>
      <c r="F122" s="11">
        <v>1.2</v>
      </c>
      <c r="G122" s="11"/>
      <c r="H122" s="11">
        <v>0.6</v>
      </c>
      <c r="I122" s="12">
        <f t="shared" si="12"/>
        <v>34.559999999999995</v>
      </c>
      <c r="J122" s="5"/>
      <c r="O122" s="11">
        <v>8</v>
      </c>
      <c r="P122">
        <f t="shared" si="6"/>
        <v>0</v>
      </c>
    </row>
    <row r="123" spans="1:16">
      <c r="A123" s="4"/>
      <c r="B123" s="13" t="s">
        <v>36</v>
      </c>
      <c r="C123" s="10"/>
      <c r="D123" s="11"/>
      <c r="E123" s="11"/>
      <c r="F123" s="11"/>
      <c r="G123" s="11"/>
      <c r="H123" s="11"/>
      <c r="I123" s="12"/>
      <c r="J123" s="5"/>
      <c r="O123" s="11">
        <v>0</v>
      </c>
      <c r="P123">
        <f t="shared" si="6"/>
        <v>0</v>
      </c>
    </row>
    <row r="124" spans="1:16">
      <c r="A124" s="4"/>
      <c r="B124" s="10" t="s">
        <v>52</v>
      </c>
      <c r="C124" s="10" t="s">
        <v>18</v>
      </c>
      <c r="D124" s="11">
        <v>-6</v>
      </c>
      <c r="E124" s="11">
        <v>4</v>
      </c>
      <c r="F124" s="11">
        <v>0.6</v>
      </c>
      <c r="G124" s="11"/>
      <c r="H124" s="11">
        <v>0.45</v>
      </c>
      <c r="I124" s="12">
        <f t="shared" ref="I124:I127" si="14">+PRODUCT(D124:H124)</f>
        <v>-6.4799999999999995</v>
      </c>
      <c r="J124" s="5"/>
      <c r="O124" s="11">
        <v>4</v>
      </c>
      <c r="P124">
        <f t="shared" si="6"/>
        <v>0</v>
      </c>
    </row>
    <row r="125" spans="1:16">
      <c r="A125" s="4"/>
      <c r="B125" s="13" t="s">
        <v>53</v>
      </c>
      <c r="C125" s="10"/>
      <c r="D125" s="11"/>
      <c r="E125" s="11"/>
      <c r="F125" s="11"/>
      <c r="G125" s="11"/>
      <c r="H125" s="11"/>
      <c r="I125" s="12">
        <f t="shared" si="14"/>
        <v>0</v>
      </c>
      <c r="J125" s="5"/>
      <c r="O125" s="11">
        <v>0</v>
      </c>
      <c r="P125">
        <f t="shared" si="6"/>
        <v>0</v>
      </c>
    </row>
    <row r="126" spans="1:16">
      <c r="A126" s="4"/>
      <c r="B126" s="10" t="s">
        <v>30</v>
      </c>
      <c r="C126" s="10" t="s">
        <v>18</v>
      </c>
      <c r="D126" s="11">
        <f>+D122</f>
        <v>6</v>
      </c>
      <c r="E126" s="11">
        <v>8</v>
      </c>
      <c r="F126" s="11">
        <v>1.36</v>
      </c>
      <c r="G126" s="11"/>
      <c r="H126" s="11">
        <v>2.7</v>
      </c>
      <c r="I126" s="12">
        <f t="shared" si="14"/>
        <v>176.25600000000003</v>
      </c>
      <c r="J126" s="5"/>
      <c r="O126" s="11">
        <v>8</v>
      </c>
      <c r="P126">
        <f t="shared" si="6"/>
        <v>0</v>
      </c>
    </row>
    <row r="127" spans="1:16">
      <c r="A127" s="4"/>
      <c r="B127" s="10" t="s">
        <v>31</v>
      </c>
      <c r="C127" s="10" t="s">
        <v>18</v>
      </c>
      <c r="D127" s="11">
        <f>+D126</f>
        <v>6</v>
      </c>
      <c r="E127" s="11">
        <v>8</v>
      </c>
      <c r="F127" s="11">
        <v>0.9</v>
      </c>
      <c r="G127" s="11"/>
      <c r="H127" s="11">
        <v>2.7</v>
      </c>
      <c r="I127" s="12">
        <f t="shared" si="14"/>
        <v>116.64000000000001</v>
      </c>
      <c r="J127" s="5"/>
      <c r="O127" s="11">
        <v>8</v>
      </c>
      <c r="P127">
        <f t="shared" si="6"/>
        <v>0</v>
      </c>
    </row>
    <row r="128" spans="1:16">
      <c r="A128" s="4"/>
      <c r="B128" s="10" t="s">
        <v>36</v>
      </c>
      <c r="C128" s="10"/>
      <c r="D128" s="11"/>
      <c r="E128" s="11"/>
      <c r="F128" s="11"/>
      <c r="G128" s="11"/>
      <c r="H128" s="11"/>
      <c r="I128" s="12"/>
      <c r="J128" s="5"/>
      <c r="O128" s="11">
        <v>0</v>
      </c>
      <c r="P128">
        <f t="shared" si="6"/>
        <v>0</v>
      </c>
    </row>
    <row r="129" spans="1:16">
      <c r="A129" s="4"/>
      <c r="B129" s="10" t="s">
        <v>41</v>
      </c>
      <c r="C129" s="10" t="s">
        <v>18</v>
      </c>
      <c r="D129" s="11">
        <f>+D124</f>
        <v>-6</v>
      </c>
      <c r="E129" s="11">
        <v>4</v>
      </c>
      <c r="F129" s="11">
        <v>0.75</v>
      </c>
      <c r="G129" s="11"/>
      <c r="H129" s="11">
        <v>1.9</v>
      </c>
      <c r="I129" s="12">
        <f t="shared" ref="I129:I134" si="15">+PRODUCT(D129:H129)</f>
        <v>-34.199999999999996</v>
      </c>
      <c r="J129" s="5"/>
      <c r="O129" s="11">
        <v>4</v>
      </c>
      <c r="P129">
        <f t="shared" si="6"/>
        <v>0</v>
      </c>
    </row>
    <row r="130" spans="1:16">
      <c r="A130" s="4"/>
      <c r="B130" s="10" t="s">
        <v>54</v>
      </c>
      <c r="C130" s="10" t="s">
        <v>18</v>
      </c>
      <c r="D130" s="11">
        <f>+D129</f>
        <v>-6</v>
      </c>
      <c r="E130" s="11">
        <v>4</v>
      </c>
      <c r="F130" s="11">
        <v>1.5</v>
      </c>
      <c r="G130" s="11"/>
      <c r="H130" s="11">
        <f>2.7-0.915-0.435</f>
        <v>1.35</v>
      </c>
      <c r="I130" s="12">
        <f t="shared" si="15"/>
        <v>-48.6</v>
      </c>
      <c r="J130" s="5"/>
      <c r="O130" s="11">
        <v>4</v>
      </c>
      <c r="P130">
        <f t="shared" si="6"/>
        <v>0</v>
      </c>
    </row>
    <row r="131" spans="1:16">
      <c r="A131" s="4"/>
      <c r="B131" s="10" t="s">
        <v>46</v>
      </c>
      <c r="C131" s="10" t="s">
        <v>18</v>
      </c>
      <c r="D131" s="11">
        <f>+D130</f>
        <v>-6</v>
      </c>
      <c r="E131" s="11">
        <v>4</v>
      </c>
      <c r="F131" s="11">
        <v>0.9</v>
      </c>
      <c r="G131" s="11"/>
      <c r="H131" s="11">
        <v>1.2</v>
      </c>
      <c r="I131" s="12">
        <f t="shared" si="15"/>
        <v>-25.92</v>
      </c>
      <c r="J131" s="5"/>
      <c r="O131" s="11">
        <v>4</v>
      </c>
      <c r="P131">
        <f t="shared" si="6"/>
        <v>0</v>
      </c>
    </row>
    <row r="132" spans="1:16">
      <c r="A132" s="4"/>
      <c r="B132" s="13" t="s">
        <v>60</v>
      </c>
      <c r="C132" s="10"/>
      <c r="D132" s="11"/>
      <c r="E132" s="11"/>
      <c r="F132" s="11"/>
      <c r="G132" s="11"/>
      <c r="H132" s="11"/>
      <c r="I132" s="12"/>
      <c r="J132" s="5"/>
      <c r="O132" s="11">
        <v>0</v>
      </c>
      <c r="P132">
        <f t="shared" si="6"/>
        <v>0</v>
      </c>
    </row>
    <row r="133" spans="1:16">
      <c r="A133" s="4"/>
      <c r="B133" s="10" t="s">
        <v>61</v>
      </c>
      <c r="C133" s="10" t="s">
        <v>18</v>
      </c>
      <c r="D133" s="11">
        <v>2</v>
      </c>
      <c r="E133" s="11">
        <v>4</v>
      </c>
      <c r="F133" s="11">
        <v>2.5</v>
      </c>
      <c r="G133" s="11">
        <v>1</v>
      </c>
      <c r="H133" s="11"/>
      <c r="I133" s="12">
        <f t="shared" si="15"/>
        <v>20</v>
      </c>
      <c r="J133" s="5"/>
      <c r="K133">
        <v>80</v>
      </c>
      <c r="L133" s="15">
        <f>+K133-I133</f>
        <v>60</v>
      </c>
      <c r="O133" s="11">
        <v>4</v>
      </c>
      <c r="P133">
        <f t="shared" si="6"/>
        <v>0</v>
      </c>
    </row>
    <row r="134" spans="1:16">
      <c r="A134" s="4"/>
      <c r="B134" s="10" t="s">
        <v>62</v>
      </c>
      <c r="C134" s="10" t="s">
        <v>18</v>
      </c>
      <c r="D134" s="11">
        <v>1</v>
      </c>
      <c r="E134" s="11">
        <v>4</v>
      </c>
      <c r="F134" s="11">
        <v>2.2000000000000002</v>
      </c>
      <c r="G134" s="11">
        <v>1.04</v>
      </c>
      <c r="H134" s="11"/>
      <c r="I134" s="12">
        <f t="shared" si="15"/>
        <v>9.152000000000001</v>
      </c>
      <c r="J134" s="5"/>
      <c r="K134">
        <v>36.61</v>
      </c>
      <c r="L134" s="15">
        <f>+K134-I134</f>
        <v>27.457999999999998</v>
      </c>
      <c r="O134" s="11">
        <v>4</v>
      </c>
      <c r="P134">
        <f t="shared" si="6"/>
        <v>0</v>
      </c>
    </row>
    <row r="135" spans="1:16">
      <c r="A135" s="4"/>
      <c r="B135" s="13" t="s">
        <v>14</v>
      </c>
      <c r="C135" s="13"/>
      <c r="D135" s="38"/>
      <c r="E135" s="38"/>
      <c r="F135" s="38"/>
      <c r="G135" s="38"/>
      <c r="H135" s="38"/>
      <c r="I135" s="39">
        <f>SUM(I10:I134)</f>
        <v>7059.4000000000005</v>
      </c>
      <c r="J135" s="5"/>
      <c r="L135" s="15"/>
      <c r="O135" s="37"/>
    </row>
    <row r="136" spans="1:16">
      <c r="A136" s="4"/>
      <c r="B136" s="13" t="s">
        <v>80</v>
      </c>
      <c r="C136" s="13"/>
      <c r="D136" s="38"/>
      <c r="E136" s="38"/>
      <c r="F136" s="38"/>
      <c r="G136" s="38"/>
      <c r="H136" s="38"/>
      <c r="I136" s="39">
        <f>+I135*10%</f>
        <v>705.94</v>
      </c>
      <c r="J136" s="5"/>
      <c r="L136" s="15"/>
      <c r="O136" s="37"/>
    </row>
    <row r="137" spans="1:16">
      <c r="A137" s="4"/>
      <c r="B137" s="13" t="s">
        <v>81</v>
      </c>
      <c r="C137" s="13"/>
      <c r="D137" s="38"/>
      <c r="E137" s="38"/>
      <c r="F137" s="38"/>
      <c r="G137" s="38"/>
      <c r="H137" s="38"/>
      <c r="I137" s="39">
        <f>+I135-I136</f>
        <v>6353.4600000000009</v>
      </c>
      <c r="J137" s="5"/>
      <c r="L137" s="15"/>
      <c r="O137" s="37"/>
    </row>
    <row r="138" spans="1:16" ht="18">
      <c r="A138" s="4"/>
      <c r="B138" s="16" t="s">
        <v>63</v>
      </c>
      <c r="C138" s="17"/>
      <c r="D138" s="17"/>
      <c r="E138" s="7"/>
      <c r="F138" s="8"/>
      <c r="G138" s="8"/>
      <c r="H138" s="8"/>
      <c r="I138" s="9"/>
      <c r="J138" s="5"/>
    </row>
    <row r="139" spans="1:16">
      <c r="A139" s="4"/>
      <c r="B139" s="13" t="s">
        <v>22</v>
      </c>
      <c r="C139" s="10"/>
      <c r="D139" s="11"/>
      <c r="E139" s="11"/>
      <c r="F139" s="11"/>
      <c r="G139" s="11"/>
      <c r="H139" s="11"/>
      <c r="I139" s="12"/>
      <c r="J139" s="5"/>
    </row>
    <row r="140" spans="1:16">
      <c r="A140" s="4"/>
      <c r="B140" s="18" t="s">
        <v>23</v>
      </c>
      <c r="C140" s="17"/>
      <c r="D140" s="17"/>
      <c r="E140" s="7"/>
      <c r="F140" s="8"/>
      <c r="G140" s="8"/>
      <c r="H140" s="8"/>
      <c r="I140" s="9"/>
      <c r="J140" s="5"/>
    </row>
    <row r="141" spans="1:16">
      <c r="A141" s="4"/>
      <c r="B141" s="10" t="s">
        <v>64</v>
      </c>
      <c r="C141" s="10" t="s">
        <v>18</v>
      </c>
      <c r="D141" s="11">
        <v>6</v>
      </c>
      <c r="E141" s="11">
        <v>4</v>
      </c>
      <c r="F141" s="11">
        <v>3.25</v>
      </c>
      <c r="G141" s="11">
        <v>2.5</v>
      </c>
      <c r="H141" s="11"/>
      <c r="I141" s="12">
        <f t="shared" ref="I141:I147" si="16">PRODUCT(C141:H141)</f>
        <v>195</v>
      </c>
      <c r="J141" s="5"/>
    </row>
    <row r="142" spans="1:16">
      <c r="A142" s="4"/>
      <c r="B142" s="10" t="s">
        <v>64</v>
      </c>
      <c r="C142" s="10" t="s">
        <v>18</v>
      </c>
      <c r="D142" s="11">
        <f>+D141</f>
        <v>6</v>
      </c>
      <c r="E142" s="11">
        <v>4</v>
      </c>
      <c r="F142" s="11">
        <v>1.4</v>
      </c>
      <c r="G142" s="11">
        <v>0.85</v>
      </c>
      <c r="H142" s="11"/>
      <c r="I142" s="12">
        <f t="shared" si="16"/>
        <v>28.559999999999995</v>
      </c>
      <c r="J142" s="5"/>
    </row>
    <row r="143" spans="1:16">
      <c r="A143" s="4"/>
      <c r="B143" s="10" t="s">
        <v>65</v>
      </c>
      <c r="C143" s="10" t="s">
        <v>18</v>
      </c>
      <c r="D143" s="11">
        <f t="shared" ref="D143:D147" si="17">+D142</f>
        <v>6</v>
      </c>
      <c r="E143" s="11">
        <v>4</v>
      </c>
      <c r="F143" s="11">
        <v>3.15</v>
      </c>
      <c r="G143" s="11">
        <v>2.1</v>
      </c>
      <c r="H143" s="11"/>
      <c r="I143" s="12">
        <f t="shared" si="16"/>
        <v>158.76</v>
      </c>
      <c r="J143" s="5"/>
    </row>
    <row r="144" spans="1:16">
      <c r="A144" s="4"/>
      <c r="B144" s="10" t="s">
        <v>66</v>
      </c>
      <c r="C144" s="10" t="s">
        <v>18</v>
      </c>
      <c r="D144" s="11">
        <f t="shared" si="17"/>
        <v>6</v>
      </c>
      <c r="E144" s="11">
        <v>4</v>
      </c>
      <c r="F144" s="11">
        <v>3.4</v>
      </c>
      <c r="G144" s="11">
        <v>2.1</v>
      </c>
      <c r="H144" s="11"/>
      <c r="I144" s="12">
        <f t="shared" si="16"/>
        <v>171.35999999999999</v>
      </c>
      <c r="J144" s="5"/>
    </row>
    <row r="145" spans="1:11">
      <c r="A145" s="4"/>
      <c r="B145" s="10" t="s">
        <v>26</v>
      </c>
      <c r="C145" s="10" t="s">
        <v>18</v>
      </c>
      <c r="D145" s="11">
        <f t="shared" si="17"/>
        <v>6</v>
      </c>
      <c r="E145" s="11">
        <v>4</v>
      </c>
      <c r="F145" s="11">
        <v>2.1</v>
      </c>
      <c r="G145" s="11">
        <v>1.65</v>
      </c>
      <c r="H145" s="11"/>
      <c r="I145" s="12">
        <f t="shared" si="16"/>
        <v>83.160000000000011</v>
      </c>
      <c r="J145" s="5"/>
    </row>
    <row r="146" spans="1:11">
      <c r="A146" s="4"/>
      <c r="B146" s="10" t="s">
        <v>67</v>
      </c>
      <c r="C146" s="10" t="s">
        <v>18</v>
      </c>
      <c r="D146" s="11">
        <f t="shared" si="17"/>
        <v>6</v>
      </c>
      <c r="E146" s="11">
        <v>4</v>
      </c>
      <c r="F146" s="11">
        <v>1.8</v>
      </c>
      <c r="G146" s="11">
        <v>1</v>
      </c>
      <c r="H146" s="11"/>
      <c r="I146" s="12">
        <f t="shared" si="16"/>
        <v>43.2</v>
      </c>
      <c r="J146" s="5"/>
    </row>
    <row r="147" spans="1:11">
      <c r="A147" s="4"/>
      <c r="B147" s="10" t="s">
        <v>27</v>
      </c>
      <c r="C147" s="10" t="s">
        <v>18</v>
      </c>
      <c r="D147" s="11">
        <f t="shared" si="17"/>
        <v>6</v>
      </c>
      <c r="E147" s="11">
        <v>4</v>
      </c>
      <c r="F147" s="11">
        <v>1.4</v>
      </c>
      <c r="G147" s="11">
        <v>0.9</v>
      </c>
      <c r="H147" s="11"/>
      <c r="I147" s="12">
        <f t="shared" si="16"/>
        <v>30.239999999999995</v>
      </c>
      <c r="J147" s="5"/>
    </row>
    <row r="148" spans="1:11">
      <c r="A148" s="4"/>
      <c r="B148" s="10"/>
      <c r="C148" s="10"/>
      <c r="D148" s="11"/>
      <c r="E148" s="11"/>
      <c r="F148" s="11"/>
      <c r="G148" s="11"/>
      <c r="H148" s="11"/>
      <c r="I148" s="12"/>
      <c r="J148" s="5"/>
    </row>
    <row r="149" spans="1:11">
      <c r="A149" s="4"/>
      <c r="B149" s="13" t="s">
        <v>17</v>
      </c>
      <c r="C149" s="10"/>
      <c r="D149" s="11"/>
      <c r="E149" s="11"/>
      <c r="F149" s="11"/>
      <c r="G149" s="11"/>
      <c r="H149" s="11"/>
      <c r="I149" s="12"/>
      <c r="J149" s="5"/>
    </row>
    <row r="150" spans="1:11">
      <c r="A150" s="4"/>
      <c r="B150" s="10" t="s">
        <v>30</v>
      </c>
      <c r="C150" s="10" t="s">
        <v>18</v>
      </c>
      <c r="D150" s="11">
        <f>+D147</f>
        <v>6</v>
      </c>
      <c r="E150" s="11">
        <v>8</v>
      </c>
      <c r="F150" s="11">
        <v>4.1500000000000004</v>
      </c>
      <c r="G150" s="11"/>
      <c r="H150" s="11">
        <v>2.7</v>
      </c>
      <c r="I150" s="12">
        <f>PRODUCT(C150:H150)</f>
        <v>537.84</v>
      </c>
      <c r="J150" s="5"/>
    </row>
    <row r="151" spans="1:11">
      <c r="A151" s="4"/>
      <c r="B151" s="10" t="s">
        <v>31</v>
      </c>
      <c r="C151" s="10" t="s">
        <v>18</v>
      </c>
      <c r="D151" s="11">
        <f>+D150</f>
        <v>6</v>
      </c>
      <c r="E151" s="11">
        <v>8</v>
      </c>
      <c r="F151" s="11">
        <v>2.5</v>
      </c>
      <c r="G151" s="11"/>
      <c r="H151" s="11">
        <v>2.7</v>
      </c>
      <c r="I151" s="12">
        <f t="shared" ref="I151:I198" si="18">PRODUCT(C151:H151)</f>
        <v>324</v>
      </c>
      <c r="J151" s="5"/>
    </row>
    <row r="152" spans="1:11">
      <c r="A152" s="4"/>
      <c r="B152" s="13" t="s">
        <v>36</v>
      </c>
      <c r="C152" s="10"/>
      <c r="D152" s="11"/>
      <c r="E152" s="11"/>
      <c r="F152" s="11"/>
      <c r="G152" s="11"/>
      <c r="H152" s="11"/>
      <c r="I152" s="12"/>
      <c r="J152" s="5"/>
    </row>
    <row r="153" spans="1:11">
      <c r="A153" s="4"/>
      <c r="B153" s="10" t="s">
        <v>56</v>
      </c>
      <c r="C153" s="10" t="s">
        <v>18</v>
      </c>
      <c r="D153" s="11">
        <f>-D151</f>
        <v>-6</v>
      </c>
      <c r="E153" s="11">
        <v>4</v>
      </c>
      <c r="F153" s="11">
        <v>0.9</v>
      </c>
      <c r="G153" s="11"/>
      <c r="H153" s="11">
        <v>1.9</v>
      </c>
      <c r="I153" s="12">
        <f t="shared" si="18"/>
        <v>-41.04</v>
      </c>
      <c r="J153" s="5"/>
    </row>
    <row r="154" spans="1:11">
      <c r="A154" s="4"/>
      <c r="B154" s="10" t="s">
        <v>45</v>
      </c>
      <c r="C154" s="10" t="s">
        <v>18</v>
      </c>
      <c r="D154" s="11">
        <f>+D153</f>
        <v>-6</v>
      </c>
      <c r="E154" s="11">
        <v>4</v>
      </c>
      <c r="F154" s="11">
        <v>0.9</v>
      </c>
      <c r="G154" s="11"/>
      <c r="H154" s="11">
        <v>1.9</v>
      </c>
      <c r="I154" s="12">
        <f t="shared" si="18"/>
        <v>-41.04</v>
      </c>
      <c r="J154" s="5"/>
    </row>
    <row r="155" spans="1:11">
      <c r="A155" s="4"/>
      <c r="B155" s="10" t="s">
        <v>68</v>
      </c>
      <c r="C155" s="10" t="s">
        <v>18</v>
      </c>
      <c r="D155" s="11">
        <f t="shared" ref="D155:D158" si="19">+D154</f>
        <v>-6</v>
      </c>
      <c r="E155" s="11">
        <v>4</v>
      </c>
      <c r="F155" s="11">
        <v>0.8</v>
      </c>
      <c r="G155" s="11"/>
      <c r="H155" s="11">
        <v>1.9</v>
      </c>
      <c r="I155" s="12">
        <f t="shared" si="18"/>
        <v>-36.480000000000004</v>
      </c>
      <c r="J155" s="5"/>
    </row>
    <row r="156" spans="1:11">
      <c r="A156" s="4"/>
      <c r="B156" s="10" t="s">
        <v>69</v>
      </c>
      <c r="C156" s="10" t="s">
        <v>18</v>
      </c>
      <c r="D156" s="11">
        <f t="shared" si="19"/>
        <v>-6</v>
      </c>
      <c r="E156" s="11">
        <v>4</v>
      </c>
      <c r="F156" s="11">
        <v>0.75</v>
      </c>
      <c r="G156" s="11"/>
      <c r="H156" s="11">
        <v>1.9</v>
      </c>
      <c r="I156" s="12">
        <f t="shared" si="18"/>
        <v>-34.199999999999996</v>
      </c>
      <c r="J156" s="5"/>
    </row>
    <row r="157" spans="1:11">
      <c r="A157" s="4"/>
      <c r="B157" s="10" t="s">
        <v>70</v>
      </c>
      <c r="C157" s="10" t="s">
        <v>18</v>
      </c>
      <c r="D157" s="11">
        <f t="shared" si="19"/>
        <v>-6</v>
      </c>
      <c r="E157" s="11">
        <v>4</v>
      </c>
      <c r="F157" s="11">
        <v>0.75</v>
      </c>
      <c r="G157" s="11"/>
      <c r="H157" s="11">
        <v>1.9</v>
      </c>
      <c r="I157" s="12">
        <f t="shared" si="18"/>
        <v>-34.199999999999996</v>
      </c>
      <c r="J157" s="5"/>
    </row>
    <row r="158" spans="1:11">
      <c r="A158" s="4"/>
      <c r="B158" s="10" t="s">
        <v>46</v>
      </c>
      <c r="C158" s="10" t="s">
        <v>18</v>
      </c>
      <c r="D158" s="11">
        <f t="shared" si="19"/>
        <v>-6</v>
      </c>
      <c r="E158" s="11">
        <v>4</v>
      </c>
      <c r="F158" s="11">
        <v>0.9</v>
      </c>
      <c r="G158" s="11"/>
      <c r="H158" s="11">
        <v>1.2</v>
      </c>
      <c r="I158" s="12">
        <f t="shared" si="18"/>
        <v>-25.92</v>
      </c>
      <c r="J158" s="5"/>
    </row>
    <row r="159" spans="1:11">
      <c r="A159" s="4"/>
      <c r="B159" s="10" t="s">
        <v>32</v>
      </c>
      <c r="C159" s="10" t="s">
        <v>18</v>
      </c>
      <c r="D159" s="14">
        <f>+D151</f>
        <v>6</v>
      </c>
      <c r="E159" s="14">
        <v>12</v>
      </c>
      <c r="F159" s="14">
        <v>0.3</v>
      </c>
      <c r="G159" s="14"/>
      <c r="H159" s="14">
        <f>0.2+0.2+0.88+0.075</f>
        <v>1.355</v>
      </c>
      <c r="I159" s="12">
        <f t="shared" si="18"/>
        <v>29.267999999999997</v>
      </c>
      <c r="J159" s="5"/>
    </row>
    <row r="160" spans="1:11">
      <c r="A160" s="4"/>
      <c r="B160" s="10"/>
      <c r="C160" s="10" t="s">
        <v>18</v>
      </c>
      <c r="D160" s="14">
        <f t="shared" ref="D160:D163" si="20">+D159</f>
        <v>6</v>
      </c>
      <c r="E160" s="14">
        <v>12</v>
      </c>
      <c r="F160" s="14">
        <v>0.45</v>
      </c>
      <c r="G160" s="14"/>
      <c r="H160" s="14">
        <f>0.23+0.36+0.05</f>
        <v>0.64</v>
      </c>
      <c r="I160" s="12">
        <f t="shared" si="18"/>
        <v>20.736000000000001</v>
      </c>
      <c r="J160" s="5"/>
      <c r="K160" t="s">
        <v>33</v>
      </c>
    </row>
    <row r="161" spans="1:10">
      <c r="A161" s="4"/>
      <c r="B161" s="10" t="s">
        <v>34</v>
      </c>
      <c r="C161" s="10" t="s">
        <v>18</v>
      </c>
      <c r="D161" s="14">
        <f t="shared" si="20"/>
        <v>6</v>
      </c>
      <c r="E161" s="14">
        <v>16</v>
      </c>
      <c r="F161" s="14">
        <v>0.8</v>
      </c>
      <c r="G161" s="14">
        <v>0.45</v>
      </c>
      <c r="H161" s="14"/>
      <c r="I161" s="12">
        <f t="shared" si="18"/>
        <v>34.560000000000009</v>
      </c>
      <c r="J161" s="5"/>
    </row>
    <row r="162" spans="1:10">
      <c r="A162" s="4"/>
      <c r="B162" s="10"/>
      <c r="C162" s="10" t="s">
        <v>18</v>
      </c>
      <c r="D162" s="14">
        <f t="shared" si="20"/>
        <v>6</v>
      </c>
      <c r="E162" s="14">
        <v>24</v>
      </c>
      <c r="F162" s="14">
        <v>0.8</v>
      </c>
      <c r="G162" s="14">
        <v>0.3</v>
      </c>
      <c r="H162" s="14"/>
      <c r="I162" s="12">
        <f t="shared" si="18"/>
        <v>34.56</v>
      </c>
      <c r="J162" s="5"/>
    </row>
    <row r="163" spans="1:10">
      <c r="A163" s="4"/>
      <c r="B163" s="10" t="s">
        <v>35</v>
      </c>
      <c r="C163" s="10" t="s">
        <v>18</v>
      </c>
      <c r="D163" s="14">
        <f t="shared" si="20"/>
        <v>6</v>
      </c>
      <c r="E163" s="14">
        <v>16</v>
      </c>
      <c r="F163" s="14">
        <v>0.5</v>
      </c>
      <c r="G163" s="14">
        <v>0.3</v>
      </c>
      <c r="H163" s="14"/>
      <c r="I163" s="12">
        <f t="shared" si="18"/>
        <v>14.399999999999999</v>
      </c>
      <c r="J163" s="5"/>
    </row>
    <row r="164" spans="1:10">
      <c r="A164" s="4"/>
      <c r="B164" s="13" t="s">
        <v>71</v>
      </c>
      <c r="C164" s="10"/>
      <c r="D164" s="11"/>
      <c r="E164" s="11"/>
      <c r="F164" s="11"/>
      <c r="G164" s="11"/>
      <c r="H164" s="11"/>
      <c r="I164" s="12">
        <f t="shared" si="18"/>
        <v>0</v>
      </c>
      <c r="J164" s="5"/>
    </row>
    <row r="165" spans="1:10">
      <c r="A165" s="4"/>
      <c r="B165" s="10" t="s">
        <v>30</v>
      </c>
      <c r="C165" s="10" t="s">
        <v>18</v>
      </c>
      <c r="D165" s="11">
        <f>+D163</f>
        <v>6</v>
      </c>
      <c r="E165" s="11">
        <v>8</v>
      </c>
      <c r="F165" s="11">
        <v>3.15</v>
      </c>
      <c r="G165" s="11"/>
      <c r="H165" s="11">
        <v>2.7</v>
      </c>
      <c r="I165" s="12">
        <f t="shared" si="18"/>
        <v>408.24</v>
      </c>
      <c r="J165" s="5"/>
    </row>
    <row r="166" spans="1:10">
      <c r="A166" s="4"/>
      <c r="B166" s="10" t="s">
        <v>31</v>
      </c>
      <c r="C166" s="10" t="s">
        <v>18</v>
      </c>
      <c r="D166" s="11">
        <f>+D165</f>
        <v>6</v>
      </c>
      <c r="E166" s="11">
        <v>8</v>
      </c>
      <c r="F166" s="11"/>
      <c r="G166" s="11">
        <v>2.1</v>
      </c>
      <c r="H166" s="11">
        <v>2.7</v>
      </c>
      <c r="I166" s="12">
        <f t="shared" si="18"/>
        <v>272.16000000000003</v>
      </c>
      <c r="J166" s="5"/>
    </row>
    <row r="167" spans="1:10">
      <c r="A167" s="4"/>
      <c r="B167" s="10" t="s">
        <v>45</v>
      </c>
      <c r="C167" s="10" t="s">
        <v>18</v>
      </c>
      <c r="D167" s="11">
        <f>-D166</f>
        <v>-6</v>
      </c>
      <c r="E167" s="11">
        <v>4</v>
      </c>
      <c r="F167" s="11">
        <v>0.9</v>
      </c>
      <c r="G167" s="11"/>
      <c r="H167" s="11">
        <v>1.9</v>
      </c>
      <c r="I167" s="12">
        <f t="shared" si="18"/>
        <v>-41.04</v>
      </c>
      <c r="J167" s="5"/>
    </row>
    <row r="168" spans="1:10">
      <c r="A168" s="4"/>
      <c r="B168" s="10" t="s">
        <v>46</v>
      </c>
      <c r="C168" s="10" t="s">
        <v>18</v>
      </c>
      <c r="D168" s="11">
        <f>+D167</f>
        <v>-6</v>
      </c>
      <c r="E168" s="11">
        <v>4</v>
      </c>
      <c r="F168" s="11">
        <v>0.9</v>
      </c>
      <c r="G168" s="11"/>
      <c r="H168" s="11">
        <v>1.2</v>
      </c>
      <c r="I168" s="12">
        <f t="shared" si="18"/>
        <v>-25.92</v>
      </c>
      <c r="J168" s="5"/>
    </row>
    <row r="169" spans="1:10">
      <c r="A169" s="4"/>
      <c r="B169" s="10" t="s">
        <v>32</v>
      </c>
      <c r="C169" s="19" t="s">
        <v>18</v>
      </c>
      <c r="D169" s="14">
        <f>+D166</f>
        <v>6</v>
      </c>
      <c r="E169" s="14">
        <v>12</v>
      </c>
      <c r="F169" s="14">
        <v>0.3</v>
      </c>
      <c r="G169" s="14"/>
      <c r="H169" s="14">
        <f>0.325*3+0.55</f>
        <v>1.5250000000000001</v>
      </c>
      <c r="I169" s="12">
        <f t="shared" si="18"/>
        <v>32.94</v>
      </c>
      <c r="J169" s="5"/>
    </row>
    <row r="170" spans="1:10">
      <c r="A170" s="4"/>
      <c r="B170" s="10" t="s">
        <v>34</v>
      </c>
      <c r="C170" s="19" t="s">
        <v>18</v>
      </c>
      <c r="D170" s="14">
        <f>+D169</f>
        <v>6</v>
      </c>
      <c r="E170" s="14">
        <v>32</v>
      </c>
      <c r="F170" s="14">
        <v>1.05</v>
      </c>
      <c r="G170" s="14">
        <v>0.3</v>
      </c>
      <c r="H170" s="14"/>
      <c r="I170" s="12">
        <f t="shared" si="18"/>
        <v>60.480000000000004</v>
      </c>
      <c r="J170" s="5"/>
    </row>
    <row r="171" spans="1:10">
      <c r="A171" s="4"/>
      <c r="B171" s="13" t="s">
        <v>72</v>
      </c>
      <c r="C171" s="10"/>
      <c r="D171" s="11"/>
      <c r="E171" s="11"/>
      <c r="F171" s="11"/>
      <c r="G171" s="11"/>
      <c r="H171" s="11"/>
      <c r="I171" s="12">
        <f t="shared" si="18"/>
        <v>0</v>
      </c>
      <c r="J171" s="5"/>
    </row>
    <row r="172" spans="1:10">
      <c r="A172" s="4"/>
      <c r="B172" s="10" t="s">
        <v>30</v>
      </c>
      <c r="C172" s="10" t="s">
        <v>18</v>
      </c>
      <c r="D172" s="11">
        <f>+D170</f>
        <v>6</v>
      </c>
      <c r="E172" s="11">
        <v>8</v>
      </c>
      <c r="F172" s="11">
        <v>3.4</v>
      </c>
      <c r="G172" s="11"/>
      <c r="H172" s="11">
        <v>2.7</v>
      </c>
      <c r="I172" s="12">
        <f t="shared" si="18"/>
        <v>440.64</v>
      </c>
      <c r="J172" s="5"/>
    </row>
    <row r="173" spans="1:10">
      <c r="A173" s="4"/>
      <c r="B173" s="10" t="s">
        <v>31</v>
      </c>
      <c r="C173" s="10" t="s">
        <v>18</v>
      </c>
      <c r="D173" s="11">
        <f>+D172</f>
        <v>6</v>
      </c>
      <c r="E173" s="11">
        <v>8</v>
      </c>
      <c r="F173" s="11"/>
      <c r="G173" s="11">
        <v>2.1</v>
      </c>
      <c r="H173" s="11">
        <v>2.7</v>
      </c>
      <c r="I173" s="12">
        <f t="shared" si="18"/>
        <v>272.16000000000003</v>
      </c>
      <c r="J173" s="5"/>
    </row>
    <row r="174" spans="1:10">
      <c r="A174" s="4"/>
      <c r="B174" s="10" t="s">
        <v>45</v>
      </c>
      <c r="C174" s="10" t="s">
        <v>18</v>
      </c>
      <c r="D174" s="11">
        <f>-D173</f>
        <v>-6</v>
      </c>
      <c r="E174" s="11">
        <v>4</v>
      </c>
      <c r="F174" s="11">
        <v>0.9</v>
      </c>
      <c r="G174" s="11"/>
      <c r="H174" s="11">
        <v>1.9</v>
      </c>
      <c r="I174" s="12">
        <f t="shared" si="18"/>
        <v>-41.04</v>
      </c>
      <c r="J174" s="5"/>
    </row>
    <row r="175" spans="1:10">
      <c r="A175" s="4"/>
      <c r="B175" s="10" t="s">
        <v>46</v>
      </c>
      <c r="C175" s="10" t="s">
        <v>18</v>
      </c>
      <c r="D175" s="11">
        <f>+D174</f>
        <v>-6</v>
      </c>
      <c r="E175" s="11">
        <v>4</v>
      </c>
      <c r="F175" s="11">
        <v>0.9</v>
      </c>
      <c r="G175" s="11"/>
      <c r="H175" s="11">
        <v>1.2</v>
      </c>
      <c r="I175" s="12">
        <f t="shared" si="18"/>
        <v>-25.92</v>
      </c>
      <c r="J175" s="5"/>
    </row>
    <row r="176" spans="1:10">
      <c r="A176" s="4"/>
      <c r="B176" s="10" t="s">
        <v>32</v>
      </c>
      <c r="C176" s="10" t="s">
        <v>18</v>
      </c>
      <c r="D176" s="11">
        <f>+D173</f>
        <v>6</v>
      </c>
      <c r="E176" s="11">
        <v>8</v>
      </c>
      <c r="F176" s="11"/>
      <c r="G176" s="11">
        <v>0.3</v>
      </c>
      <c r="H176" s="11">
        <v>2.0499999999999998</v>
      </c>
      <c r="I176" s="12">
        <f t="shared" si="18"/>
        <v>29.519999999999996</v>
      </c>
      <c r="J176" s="5"/>
    </row>
    <row r="177" spans="1:10">
      <c r="A177" s="4"/>
      <c r="B177" s="10" t="s">
        <v>34</v>
      </c>
      <c r="C177" s="10" t="s">
        <v>18</v>
      </c>
      <c r="D177" s="11">
        <f>+D176</f>
        <v>6</v>
      </c>
      <c r="E177" s="11">
        <v>32</v>
      </c>
      <c r="F177" s="11">
        <v>0.9</v>
      </c>
      <c r="G177" s="11">
        <v>0.3</v>
      </c>
      <c r="H177" s="11"/>
      <c r="I177" s="12">
        <f t="shared" si="18"/>
        <v>51.84</v>
      </c>
      <c r="J177" s="5"/>
    </row>
    <row r="178" spans="1:10">
      <c r="A178" s="4"/>
      <c r="B178" s="10" t="s">
        <v>44</v>
      </c>
      <c r="C178" s="10" t="s">
        <v>18</v>
      </c>
      <c r="D178" s="11">
        <f>+D177</f>
        <v>6</v>
      </c>
      <c r="E178" s="11">
        <v>8</v>
      </c>
      <c r="F178" s="11">
        <v>2.1</v>
      </c>
      <c r="G178" s="11">
        <v>0.45</v>
      </c>
      <c r="H178" s="11"/>
      <c r="I178" s="12">
        <f t="shared" si="18"/>
        <v>45.360000000000007</v>
      </c>
      <c r="J178" s="5"/>
    </row>
    <row r="179" spans="1:10">
      <c r="A179" s="4"/>
      <c r="B179" s="13" t="s">
        <v>19</v>
      </c>
      <c r="C179" s="10"/>
      <c r="D179" s="11"/>
      <c r="E179" s="11"/>
      <c r="F179" s="11"/>
      <c r="G179" s="11"/>
      <c r="H179" s="11"/>
      <c r="I179" s="12">
        <f t="shared" si="18"/>
        <v>0</v>
      </c>
      <c r="J179" s="5"/>
    </row>
    <row r="180" spans="1:10">
      <c r="A180" s="4"/>
      <c r="B180" s="10" t="s">
        <v>30</v>
      </c>
      <c r="C180" s="10" t="s">
        <v>18</v>
      </c>
      <c r="D180" s="11">
        <f>+D178</f>
        <v>6</v>
      </c>
      <c r="E180" s="11">
        <v>8</v>
      </c>
      <c r="F180" s="11">
        <v>2.1</v>
      </c>
      <c r="G180" s="11"/>
      <c r="H180" s="11">
        <v>2.7</v>
      </c>
      <c r="I180" s="12">
        <f t="shared" si="18"/>
        <v>272.16000000000003</v>
      </c>
      <c r="J180" s="5"/>
    </row>
    <row r="181" spans="1:10">
      <c r="A181" s="4"/>
      <c r="B181" s="10" t="s">
        <v>31</v>
      </c>
      <c r="C181" s="10" t="s">
        <v>18</v>
      </c>
      <c r="D181" s="11">
        <f>+D180</f>
        <v>6</v>
      </c>
      <c r="E181" s="11">
        <v>8</v>
      </c>
      <c r="F181" s="11"/>
      <c r="G181" s="11">
        <v>1.65</v>
      </c>
      <c r="H181" s="11">
        <v>2.7</v>
      </c>
      <c r="I181" s="12">
        <f t="shared" si="18"/>
        <v>213.83999999999997</v>
      </c>
      <c r="J181" s="5"/>
    </row>
    <row r="182" spans="1:10">
      <c r="A182" s="4"/>
      <c r="B182" s="10" t="s">
        <v>47</v>
      </c>
      <c r="C182" s="10" t="s">
        <v>18</v>
      </c>
      <c r="D182" s="11">
        <f>-D181</f>
        <v>-6</v>
      </c>
      <c r="E182" s="11">
        <v>4</v>
      </c>
      <c r="F182" s="11">
        <f>2.1+0.75+0.75</f>
        <v>3.6</v>
      </c>
      <c r="G182" s="11"/>
      <c r="H182" s="11">
        <v>1.2</v>
      </c>
      <c r="I182" s="12">
        <f t="shared" si="18"/>
        <v>-103.68</v>
      </c>
      <c r="J182" s="5"/>
    </row>
    <row r="183" spans="1:10">
      <c r="A183" s="4"/>
      <c r="B183" s="10" t="s">
        <v>73</v>
      </c>
      <c r="C183" s="10"/>
      <c r="D183" s="11"/>
      <c r="E183" s="11"/>
      <c r="F183" s="11"/>
      <c r="G183" s="11"/>
      <c r="H183" s="11"/>
      <c r="I183" s="12">
        <f t="shared" si="18"/>
        <v>0</v>
      </c>
      <c r="J183" s="5"/>
    </row>
    <row r="184" spans="1:10">
      <c r="A184" s="4"/>
      <c r="B184" s="10"/>
      <c r="C184" s="10" t="s">
        <v>18</v>
      </c>
      <c r="D184" s="11">
        <f>+D181</f>
        <v>6</v>
      </c>
      <c r="E184" s="11">
        <v>8</v>
      </c>
      <c r="F184" s="11"/>
      <c r="G184" s="11">
        <v>0.3</v>
      </c>
      <c r="H184" s="11">
        <v>1.35</v>
      </c>
      <c r="I184" s="12">
        <f t="shared" si="18"/>
        <v>19.439999999999998</v>
      </c>
      <c r="J184" s="5"/>
    </row>
    <row r="185" spans="1:10">
      <c r="A185" s="4"/>
      <c r="B185" s="10"/>
      <c r="C185" s="10" t="s">
        <v>18</v>
      </c>
      <c r="D185" s="11">
        <f t="shared" ref="D185:D190" si="21">+D184</f>
        <v>6</v>
      </c>
      <c r="E185" s="11">
        <v>40</v>
      </c>
      <c r="F185" s="11">
        <v>0.45</v>
      </c>
      <c r="G185" s="11">
        <v>0.3</v>
      </c>
      <c r="H185" s="11"/>
      <c r="I185" s="12">
        <f t="shared" si="18"/>
        <v>32.4</v>
      </c>
      <c r="J185" s="5"/>
    </row>
    <row r="186" spans="1:10">
      <c r="A186" s="4"/>
      <c r="B186" s="10" t="s">
        <v>44</v>
      </c>
      <c r="C186" s="10" t="s">
        <v>18</v>
      </c>
      <c r="D186" s="11">
        <f t="shared" si="21"/>
        <v>6</v>
      </c>
      <c r="E186" s="11">
        <v>8</v>
      </c>
      <c r="F186" s="11">
        <v>0.9</v>
      </c>
      <c r="G186" s="11">
        <v>0.45</v>
      </c>
      <c r="H186" s="11"/>
      <c r="I186" s="12">
        <f t="shared" si="18"/>
        <v>19.440000000000001</v>
      </c>
      <c r="J186" s="5"/>
    </row>
    <row r="187" spans="1:10">
      <c r="A187" s="4"/>
      <c r="B187" s="10" t="s">
        <v>49</v>
      </c>
      <c r="C187" s="10" t="s">
        <v>18</v>
      </c>
      <c r="D187" s="11">
        <f t="shared" si="21"/>
        <v>6</v>
      </c>
      <c r="E187" s="11">
        <v>16</v>
      </c>
      <c r="F187" s="11"/>
      <c r="G187" s="11">
        <v>0.6</v>
      </c>
      <c r="H187" s="11">
        <v>0.7</v>
      </c>
      <c r="I187" s="12">
        <f t="shared" si="18"/>
        <v>40.319999999999993</v>
      </c>
      <c r="J187" s="5"/>
    </row>
    <row r="188" spans="1:10">
      <c r="A188" s="4"/>
      <c r="B188" s="10"/>
      <c r="C188" s="10" t="s">
        <v>18</v>
      </c>
      <c r="D188" s="11">
        <f t="shared" si="21"/>
        <v>6</v>
      </c>
      <c r="E188" s="11">
        <v>4</v>
      </c>
      <c r="F188" s="11">
        <v>0.95</v>
      </c>
      <c r="G188" s="11">
        <v>0.6</v>
      </c>
      <c r="H188" s="11"/>
      <c r="I188" s="12">
        <f t="shared" si="18"/>
        <v>13.679999999999998</v>
      </c>
      <c r="J188" s="5"/>
    </row>
    <row r="189" spans="1:10">
      <c r="A189" s="4"/>
      <c r="B189" s="10"/>
      <c r="C189" s="10" t="s">
        <v>18</v>
      </c>
      <c r="D189" s="11">
        <f t="shared" si="21"/>
        <v>6</v>
      </c>
      <c r="E189" s="11">
        <v>16</v>
      </c>
      <c r="F189" s="11">
        <v>0.6</v>
      </c>
      <c r="G189" s="11">
        <v>0.6</v>
      </c>
      <c r="H189" s="11"/>
      <c r="I189" s="12">
        <f t="shared" si="18"/>
        <v>34.559999999999995</v>
      </c>
      <c r="J189" s="5"/>
    </row>
    <row r="190" spans="1:10">
      <c r="A190" s="4"/>
      <c r="B190" s="10"/>
      <c r="C190" s="10" t="s">
        <v>18</v>
      </c>
      <c r="D190" s="11">
        <f t="shared" si="21"/>
        <v>6</v>
      </c>
      <c r="E190" s="11">
        <v>4</v>
      </c>
      <c r="F190" s="11">
        <v>0.5</v>
      </c>
      <c r="G190" s="11">
        <v>0.6</v>
      </c>
      <c r="H190" s="11"/>
      <c r="I190" s="12">
        <f t="shared" si="18"/>
        <v>7.1999999999999993</v>
      </c>
      <c r="J190" s="5"/>
    </row>
    <row r="191" spans="1:10">
      <c r="A191" s="4"/>
      <c r="B191" s="13" t="s">
        <v>50</v>
      </c>
      <c r="C191" s="10"/>
      <c r="D191" s="11"/>
      <c r="E191" s="11"/>
      <c r="F191" s="11"/>
      <c r="G191" s="11"/>
      <c r="H191" s="11"/>
      <c r="I191" s="12">
        <f t="shared" si="18"/>
        <v>0</v>
      </c>
      <c r="J191" s="5"/>
    </row>
    <row r="192" spans="1:10">
      <c r="A192" s="4"/>
      <c r="B192" s="10" t="s">
        <v>30</v>
      </c>
      <c r="C192" s="10" t="s">
        <v>18</v>
      </c>
      <c r="D192" s="11">
        <f>+D190</f>
        <v>6</v>
      </c>
      <c r="E192" s="11">
        <v>8</v>
      </c>
      <c r="F192" s="11">
        <v>1.75</v>
      </c>
      <c r="G192" s="11"/>
      <c r="H192" s="11">
        <v>0.6</v>
      </c>
      <c r="I192" s="12">
        <f t="shared" si="18"/>
        <v>50.4</v>
      </c>
      <c r="J192" s="5"/>
    </row>
    <row r="193" spans="1:10">
      <c r="A193" s="4"/>
      <c r="B193" s="10" t="s">
        <v>31</v>
      </c>
      <c r="C193" s="10" t="s">
        <v>18</v>
      </c>
      <c r="D193" s="11">
        <f>+D192</f>
        <v>6</v>
      </c>
      <c r="E193" s="11">
        <v>8</v>
      </c>
      <c r="F193" s="11"/>
      <c r="G193" s="11">
        <v>1</v>
      </c>
      <c r="H193" s="11">
        <v>0.6</v>
      </c>
      <c r="I193" s="12">
        <f t="shared" si="18"/>
        <v>28.799999999999997</v>
      </c>
      <c r="J193" s="5"/>
    </row>
    <row r="194" spans="1:10">
      <c r="A194" s="4"/>
      <c r="B194" s="13" t="s">
        <v>53</v>
      </c>
      <c r="C194" s="10"/>
      <c r="D194" s="11"/>
      <c r="E194" s="11"/>
      <c r="F194" s="11"/>
      <c r="G194" s="11"/>
      <c r="H194" s="11"/>
      <c r="I194" s="12">
        <f t="shared" si="18"/>
        <v>0</v>
      </c>
      <c r="J194" s="5"/>
    </row>
    <row r="195" spans="1:10">
      <c r="A195" s="4"/>
      <c r="B195" s="10" t="s">
        <v>30</v>
      </c>
      <c r="C195" s="10" t="s">
        <v>18</v>
      </c>
      <c r="D195" s="11">
        <f>+D193</f>
        <v>6</v>
      </c>
      <c r="E195" s="11">
        <v>8</v>
      </c>
      <c r="F195" s="11">
        <v>1.4</v>
      </c>
      <c r="G195" s="11"/>
      <c r="H195" s="11">
        <v>2.7</v>
      </c>
      <c r="I195" s="12">
        <f t="shared" si="18"/>
        <v>181.43999999999997</v>
      </c>
      <c r="J195" s="5"/>
    </row>
    <row r="196" spans="1:10">
      <c r="A196" s="4"/>
      <c r="B196" s="10" t="s">
        <v>31</v>
      </c>
      <c r="C196" s="10" t="s">
        <v>18</v>
      </c>
      <c r="D196" s="11">
        <f>+D195</f>
        <v>6</v>
      </c>
      <c r="E196" s="11">
        <v>8</v>
      </c>
      <c r="F196" s="11"/>
      <c r="G196" s="11">
        <v>1.2</v>
      </c>
      <c r="H196" s="11">
        <v>2.7</v>
      </c>
      <c r="I196" s="12">
        <f t="shared" si="18"/>
        <v>155.51999999999998</v>
      </c>
      <c r="J196" s="5"/>
    </row>
    <row r="197" spans="1:10">
      <c r="A197" s="4"/>
      <c r="B197" s="10" t="s">
        <v>74</v>
      </c>
      <c r="C197" s="10" t="s">
        <v>18</v>
      </c>
      <c r="D197" s="11">
        <f>-D196</f>
        <v>-6</v>
      </c>
      <c r="E197" s="11">
        <v>4</v>
      </c>
      <c r="F197" s="11">
        <v>0.75</v>
      </c>
      <c r="G197" s="11"/>
      <c r="H197" s="11">
        <v>1.95</v>
      </c>
      <c r="I197" s="12">
        <f t="shared" si="18"/>
        <v>-35.1</v>
      </c>
      <c r="J197" s="5"/>
    </row>
    <row r="198" spans="1:10">
      <c r="A198" s="4"/>
      <c r="B198" s="10" t="s">
        <v>54</v>
      </c>
      <c r="C198" s="10" t="s">
        <v>18</v>
      </c>
      <c r="D198" s="11">
        <f>+D197</f>
        <v>-6</v>
      </c>
      <c r="E198" s="11">
        <v>4</v>
      </c>
      <c r="F198" s="11">
        <v>1.1000000000000001</v>
      </c>
      <c r="G198" s="11"/>
      <c r="H198" s="11">
        <f>2.7-0.915-0.435</f>
        <v>1.35</v>
      </c>
      <c r="I198" s="12">
        <f t="shared" si="18"/>
        <v>-35.640000000000008</v>
      </c>
      <c r="J198" s="5"/>
    </row>
    <row r="199" spans="1:10">
      <c r="A199" s="4"/>
      <c r="B199" s="13" t="s">
        <v>20</v>
      </c>
      <c r="C199" s="10"/>
      <c r="D199" s="11"/>
      <c r="E199" s="11"/>
      <c r="F199" s="11"/>
      <c r="G199" s="11"/>
      <c r="H199" s="11"/>
      <c r="I199" s="12"/>
      <c r="J199" s="5"/>
    </row>
    <row r="200" spans="1:10">
      <c r="A200" s="4"/>
      <c r="B200" s="10" t="s">
        <v>55</v>
      </c>
      <c r="C200" s="10" t="s">
        <v>18</v>
      </c>
      <c r="D200" s="11">
        <v>1</v>
      </c>
      <c r="E200" s="11">
        <v>4</v>
      </c>
      <c r="F200" s="11">
        <v>41</v>
      </c>
      <c r="G200" s="11">
        <v>1.8</v>
      </c>
      <c r="H200" s="11"/>
      <c r="I200" s="12">
        <f>PRODUCT(C200:H200)</f>
        <v>295.2</v>
      </c>
      <c r="J200" s="5"/>
    </row>
    <row r="201" spans="1:10">
      <c r="A201" s="4"/>
      <c r="B201" s="10" t="s">
        <v>30</v>
      </c>
      <c r="C201" s="10" t="s">
        <v>18</v>
      </c>
      <c r="D201" s="11">
        <v>2</v>
      </c>
      <c r="E201" s="11">
        <v>4</v>
      </c>
      <c r="F201" s="11">
        <v>41</v>
      </c>
      <c r="G201" s="11"/>
      <c r="H201" s="11">
        <v>2.7</v>
      </c>
      <c r="I201" s="12">
        <f>PRODUCT(C201:H201)</f>
        <v>885.6</v>
      </c>
      <c r="J201" s="5"/>
    </row>
    <row r="202" spans="1:10">
      <c r="A202" s="4"/>
      <c r="B202" s="10" t="s">
        <v>31</v>
      </c>
      <c r="C202" s="10" t="s">
        <v>18</v>
      </c>
      <c r="D202" s="11">
        <v>2</v>
      </c>
      <c r="E202" s="11">
        <v>4</v>
      </c>
      <c r="F202" s="11">
        <v>1.8</v>
      </c>
      <c r="G202" s="11"/>
      <c r="H202" s="11">
        <v>2.7</v>
      </c>
      <c r="I202" s="12">
        <f t="shared" ref="I202:I206" si="22">PRODUCT(C202:H202)</f>
        <v>38.880000000000003</v>
      </c>
      <c r="J202" s="5"/>
    </row>
    <row r="203" spans="1:10">
      <c r="A203" s="4"/>
      <c r="B203" s="10" t="s">
        <v>56</v>
      </c>
      <c r="C203" s="10" t="s">
        <v>18</v>
      </c>
      <c r="D203" s="11">
        <v>-12</v>
      </c>
      <c r="E203" s="11">
        <v>4</v>
      </c>
      <c r="F203" s="11">
        <v>0.9</v>
      </c>
      <c r="G203" s="11"/>
      <c r="H203" s="11">
        <v>1.95</v>
      </c>
      <c r="I203" s="12">
        <f t="shared" si="22"/>
        <v>-84.240000000000009</v>
      </c>
      <c r="J203" s="5"/>
    </row>
    <row r="204" spans="1:10">
      <c r="A204" s="4"/>
      <c r="B204" s="10" t="s">
        <v>75</v>
      </c>
      <c r="C204" s="10" t="s">
        <v>18</v>
      </c>
      <c r="D204" s="11">
        <v>-2</v>
      </c>
      <c r="E204" s="11">
        <v>4</v>
      </c>
      <c r="F204" s="11">
        <v>1.8</v>
      </c>
      <c r="G204" s="11"/>
      <c r="H204" s="11">
        <f>2.7-1.04-0.435</f>
        <v>1.2250000000000001</v>
      </c>
      <c r="I204" s="12">
        <f t="shared" si="22"/>
        <v>-17.64</v>
      </c>
      <c r="J204" s="5"/>
    </row>
    <row r="205" spans="1:10">
      <c r="A205" s="4"/>
      <c r="B205" s="10" t="s">
        <v>57</v>
      </c>
      <c r="C205" s="10" t="s">
        <v>18</v>
      </c>
      <c r="D205" s="11">
        <v>-2</v>
      </c>
      <c r="E205" s="11">
        <v>4</v>
      </c>
      <c r="F205" s="11">
        <v>2.2000000000000002</v>
      </c>
      <c r="G205" s="11"/>
      <c r="H205" s="11">
        <v>2.35</v>
      </c>
      <c r="I205" s="12">
        <f t="shared" si="22"/>
        <v>-41.360000000000007</v>
      </c>
      <c r="J205" s="5"/>
    </row>
    <row r="206" spans="1:10">
      <c r="A206" s="4"/>
      <c r="B206" s="10" t="s">
        <v>46</v>
      </c>
      <c r="C206" s="10" t="s">
        <v>18</v>
      </c>
      <c r="D206" s="11">
        <v>-10</v>
      </c>
      <c r="E206" s="11">
        <v>4</v>
      </c>
      <c r="F206" s="11">
        <v>0.9</v>
      </c>
      <c r="G206" s="11"/>
      <c r="H206" s="11">
        <v>1.2</v>
      </c>
      <c r="I206" s="12">
        <f t="shared" si="22"/>
        <v>-43.199999999999996</v>
      </c>
      <c r="J206" s="5"/>
    </row>
    <row r="207" spans="1:10">
      <c r="A207" s="4"/>
      <c r="B207" s="10"/>
      <c r="C207" s="10"/>
      <c r="D207" s="11"/>
      <c r="E207" s="11"/>
      <c r="F207" s="11"/>
      <c r="G207" s="11"/>
      <c r="H207" s="11"/>
      <c r="I207" s="12"/>
      <c r="J207" s="5"/>
    </row>
    <row r="208" spans="1:10">
      <c r="A208" s="21"/>
      <c r="B208" s="13" t="s">
        <v>59</v>
      </c>
      <c r="C208" s="10"/>
      <c r="D208" s="11"/>
      <c r="E208" s="11"/>
      <c r="F208" s="11"/>
      <c r="G208" s="11"/>
      <c r="H208" s="11"/>
      <c r="I208" s="12"/>
      <c r="J208" s="5"/>
    </row>
    <row r="209" spans="1:10">
      <c r="A209" s="4"/>
      <c r="B209" s="18" t="s">
        <v>23</v>
      </c>
      <c r="C209" s="17"/>
      <c r="D209" s="17"/>
      <c r="E209" s="7"/>
      <c r="F209" s="8"/>
      <c r="G209" s="8"/>
      <c r="H209" s="8"/>
      <c r="I209" s="9"/>
      <c r="J209" s="5"/>
    </row>
    <row r="210" spans="1:10">
      <c r="A210" s="4"/>
      <c r="B210" s="10" t="s">
        <v>64</v>
      </c>
      <c r="C210" s="10" t="s">
        <v>18</v>
      </c>
      <c r="D210" s="11">
        <v>6</v>
      </c>
      <c r="E210" s="11">
        <v>4</v>
      </c>
      <c r="F210" s="11">
        <v>3.25</v>
      </c>
      <c r="G210" s="11">
        <v>2.5</v>
      </c>
      <c r="H210" s="11"/>
      <c r="I210" s="12">
        <f t="shared" ref="I210:I216" si="23">PRODUCT(C210:H210)</f>
        <v>195</v>
      </c>
      <c r="J210" s="5"/>
    </row>
    <row r="211" spans="1:10">
      <c r="A211" s="4"/>
      <c r="B211" s="10" t="s">
        <v>64</v>
      </c>
      <c r="C211" s="10" t="s">
        <v>18</v>
      </c>
      <c r="D211" s="11">
        <f>+D210</f>
        <v>6</v>
      </c>
      <c r="E211" s="11">
        <v>4</v>
      </c>
      <c r="F211" s="11">
        <v>1.4</v>
      </c>
      <c r="G211" s="11">
        <v>0.85</v>
      </c>
      <c r="H211" s="11"/>
      <c r="I211" s="12">
        <f t="shared" si="23"/>
        <v>28.559999999999995</v>
      </c>
      <c r="J211" s="5"/>
    </row>
    <row r="212" spans="1:10">
      <c r="A212" s="4"/>
      <c r="B212" s="10" t="s">
        <v>65</v>
      </c>
      <c r="C212" s="10" t="s">
        <v>18</v>
      </c>
      <c r="D212" s="11">
        <f t="shared" ref="D212:D216" si="24">+D211</f>
        <v>6</v>
      </c>
      <c r="E212" s="11">
        <v>4</v>
      </c>
      <c r="F212" s="11">
        <v>3.15</v>
      </c>
      <c r="G212" s="11">
        <v>2.1</v>
      </c>
      <c r="H212" s="11"/>
      <c r="I212" s="12">
        <f t="shared" si="23"/>
        <v>158.76</v>
      </c>
      <c r="J212" s="5"/>
    </row>
    <row r="213" spans="1:10">
      <c r="A213" s="4"/>
      <c r="B213" s="10" t="s">
        <v>66</v>
      </c>
      <c r="C213" s="10" t="s">
        <v>18</v>
      </c>
      <c r="D213" s="11">
        <f t="shared" si="24"/>
        <v>6</v>
      </c>
      <c r="E213" s="11">
        <v>4</v>
      </c>
      <c r="F213" s="11">
        <v>3.4</v>
      </c>
      <c r="G213" s="11">
        <v>2.1</v>
      </c>
      <c r="H213" s="11"/>
      <c r="I213" s="12">
        <f t="shared" si="23"/>
        <v>171.35999999999999</v>
      </c>
      <c r="J213" s="5"/>
    </row>
    <row r="214" spans="1:10">
      <c r="A214" s="4"/>
      <c r="B214" s="10" t="s">
        <v>26</v>
      </c>
      <c r="C214" s="10" t="s">
        <v>18</v>
      </c>
      <c r="D214" s="11">
        <f t="shared" si="24"/>
        <v>6</v>
      </c>
      <c r="E214" s="11">
        <v>4</v>
      </c>
      <c r="F214" s="11">
        <v>2.1</v>
      </c>
      <c r="G214" s="11">
        <v>1.65</v>
      </c>
      <c r="H214" s="11"/>
      <c r="I214" s="12">
        <f t="shared" si="23"/>
        <v>83.160000000000011</v>
      </c>
      <c r="J214" s="5"/>
    </row>
    <row r="215" spans="1:10">
      <c r="A215" s="4"/>
      <c r="B215" s="10" t="s">
        <v>67</v>
      </c>
      <c r="C215" s="10" t="s">
        <v>18</v>
      </c>
      <c r="D215" s="11">
        <f t="shared" si="24"/>
        <v>6</v>
      </c>
      <c r="E215" s="11">
        <v>4</v>
      </c>
      <c r="F215" s="11">
        <v>1.8</v>
      </c>
      <c r="G215" s="11">
        <v>1</v>
      </c>
      <c r="H215" s="11"/>
      <c r="I215" s="12">
        <f t="shared" si="23"/>
        <v>43.2</v>
      </c>
      <c r="J215" s="5"/>
    </row>
    <row r="216" spans="1:10">
      <c r="A216" s="4"/>
      <c r="B216" s="10" t="s">
        <v>27</v>
      </c>
      <c r="C216" s="10" t="s">
        <v>18</v>
      </c>
      <c r="D216" s="11">
        <f t="shared" si="24"/>
        <v>6</v>
      </c>
      <c r="E216" s="11">
        <v>4</v>
      </c>
      <c r="F216" s="11">
        <v>1.4</v>
      </c>
      <c r="G216" s="11">
        <v>0.9</v>
      </c>
      <c r="H216" s="11"/>
      <c r="I216" s="12">
        <f t="shared" si="23"/>
        <v>30.239999999999995</v>
      </c>
      <c r="J216" s="5"/>
    </row>
    <row r="217" spans="1:10">
      <c r="A217" s="4"/>
      <c r="B217" s="10"/>
      <c r="C217" s="10"/>
      <c r="D217" s="11"/>
      <c r="E217" s="11"/>
      <c r="F217" s="11"/>
      <c r="G217" s="11"/>
      <c r="H217" s="11"/>
      <c r="I217" s="12"/>
      <c r="J217" s="5"/>
    </row>
    <row r="218" spans="1:10">
      <c r="A218" s="4"/>
      <c r="B218" s="13" t="s">
        <v>17</v>
      </c>
      <c r="C218" s="10"/>
      <c r="D218" s="11"/>
      <c r="E218" s="11"/>
      <c r="F218" s="11"/>
      <c r="G218" s="11"/>
      <c r="H218" s="11"/>
      <c r="I218" s="12"/>
      <c r="J218" s="5"/>
    </row>
    <row r="219" spans="1:10">
      <c r="A219" s="4"/>
      <c r="B219" s="10" t="s">
        <v>30</v>
      </c>
      <c r="C219" s="10" t="s">
        <v>18</v>
      </c>
      <c r="D219" s="11">
        <f>+D216</f>
        <v>6</v>
      </c>
      <c r="E219" s="11">
        <v>8</v>
      </c>
      <c r="F219" s="11">
        <v>4.1500000000000004</v>
      </c>
      <c r="G219" s="11"/>
      <c r="H219" s="11">
        <v>2.7</v>
      </c>
      <c r="I219" s="12">
        <f>PRODUCT(C219:H219)</f>
        <v>537.84</v>
      </c>
      <c r="J219" s="5"/>
    </row>
    <row r="220" spans="1:10">
      <c r="A220" s="4"/>
      <c r="B220" s="10" t="s">
        <v>31</v>
      </c>
      <c r="C220" s="10" t="s">
        <v>18</v>
      </c>
      <c r="D220" s="11">
        <f>+D219</f>
        <v>6</v>
      </c>
      <c r="E220" s="11">
        <v>8</v>
      </c>
      <c r="F220" s="11">
        <v>2.5</v>
      </c>
      <c r="G220" s="11"/>
      <c r="H220" s="11">
        <v>2.7</v>
      </c>
      <c r="I220" s="12">
        <f t="shared" ref="I220" si="25">PRODUCT(C220:H220)</f>
        <v>324</v>
      </c>
      <c r="J220" s="5"/>
    </row>
    <row r="221" spans="1:10">
      <c r="A221" s="4"/>
      <c r="B221" s="13" t="s">
        <v>36</v>
      </c>
      <c r="C221" s="10"/>
      <c r="D221" s="11"/>
      <c r="E221" s="11"/>
      <c r="F221" s="11"/>
      <c r="G221" s="11"/>
      <c r="H221" s="11"/>
      <c r="I221" s="12"/>
      <c r="J221" s="5"/>
    </row>
    <row r="222" spans="1:10">
      <c r="A222" s="4"/>
      <c r="B222" s="10" t="s">
        <v>56</v>
      </c>
      <c r="C222" s="10" t="s">
        <v>18</v>
      </c>
      <c r="D222" s="11">
        <f>-D220</f>
        <v>-6</v>
      </c>
      <c r="E222" s="11">
        <v>4</v>
      </c>
      <c r="F222" s="11">
        <v>0.9</v>
      </c>
      <c r="G222" s="11"/>
      <c r="H222" s="11">
        <v>1.9</v>
      </c>
      <c r="I222" s="12">
        <f t="shared" ref="I222:I267" si="26">PRODUCT(C222:H222)</f>
        <v>-41.04</v>
      </c>
      <c r="J222" s="5"/>
    </row>
    <row r="223" spans="1:10">
      <c r="A223" s="4"/>
      <c r="B223" s="10" t="s">
        <v>45</v>
      </c>
      <c r="C223" s="10" t="s">
        <v>18</v>
      </c>
      <c r="D223" s="11">
        <f>+D222</f>
        <v>-6</v>
      </c>
      <c r="E223" s="11">
        <v>4</v>
      </c>
      <c r="F223" s="11">
        <v>0.9</v>
      </c>
      <c r="G223" s="11"/>
      <c r="H223" s="11">
        <v>1.9</v>
      </c>
      <c r="I223" s="12">
        <f t="shared" si="26"/>
        <v>-41.04</v>
      </c>
      <c r="J223" s="5"/>
    </row>
    <row r="224" spans="1:10">
      <c r="A224" s="4"/>
      <c r="B224" s="10" t="s">
        <v>68</v>
      </c>
      <c r="C224" s="10" t="s">
        <v>18</v>
      </c>
      <c r="D224" s="11">
        <f t="shared" ref="D224:D227" si="27">+D223</f>
        <v>-6</v>
      </c>
      <c r="E224" s="11">
        <v>4</v>
      </c>
      <c r="F224" s="11">
        <v>0.8</v>
      </c>
      <c r="G224" s="11"/>
      <c r="H224" s="11">
        <v>1.9</v>
      </c>
      <c r="I224" s="12" t="s">
        <v>82</v>
      </c>
      <c r="J224" s="5"/>
    </row>
    <row r="225" spans="1:11">
      <c r="A225" s="4"/>
      <c r="B225" s="10" t="s">
        <v>69</v>
      </c>
      <c r="C225" s="10" t="s">
        <v>18</v>
      </c>
      <c r="D225" s="11">
        <f t="shared" si="27"/>
        <v>-6</v>
      </c>
      <c r="E225" s="11">
        <v>4</v>
      </c>
      <c r="F225" s="11">
        <v>0.75</v>
      </c>
      <c r="G225" s="11"/>
      <c r="H225" s="11">
        <v>1.9</v>
      </c>
      <c r="I225" s="12">
        <f t="shared" si="26"/>
        <v>-34.199999999999996</v>
      </c>
      <c r="J225" s="5"/>
    </row>
    <row r="226" spans="1:11">
      <c r="A226" s="4"/>
      <c r="B226" s="10" t="s">
        <v>70</v>
      </c>
      <c r="C226" s="10" t="s">
        <v>18</v>
      </c>
      <c r="D226" s="11">
        <f t="shared" si="27"/>
        <v>-6</v>
      </c>
      <c r="E226" s="11">
        <v>4</v>
      </c>
      <c r="F226" s="11">
        <v>0.75</v>
      </c>
      <c r="G226" s="11"/>
      <c r="H226" s="11">
        <v>1.9</v>
      </c>
      <c r="I226" s="12">
        <f t="shared" si="26"/>
        <v>-34.199999999999996</v>
      </c>
      <c r="J226" s="5"/>
    </row>
    <row r="227" spans="1:11">
      <c r="A227" s="4"/>
      <c r="B227" s="10" t="s">
        <v>46</v>
      </c>
      <c r="C227" s="10" t="s">
        <v>18</v>
      </c>
      <c r="D227" s="11">
        <f t="shared" si="27"/>
        <v>-6</v>
      </c>
      <c r="E227" s="11">
        <v>4</v>
      </c>
      <c r="F227" s="11">
        <v>0.9</v>
      </c>
      <c r="G227" s="11"/>
      <c r="H227" s="11">
        <v>1.2</v>
      </c>
      <c r="I227" s="12">
        <f t="shared" si="26"/>
        <v>-25.92</v>
      </c>
      <c r="J227" s="5"/>
    </row>
    <row r="228" spans="1:11">
      <c r="A228" s="4"/>
      <c r="B228" s="10" t="s">
        <v>32</v>
      </c>
      <c r="C228" s="10" t="s">
        <v>18</v>
      </c>
      <c r="D228" s="14">
        <f>+D220</f>
        <v>6</v>
      </c>
      <c r="E228" s="14">
        <v>12</v>
      </c>
      <c r="F228" s="14">
        <v>0.3</v>
      </c>
      <c r="G228" s="14"/>
      <c r="H228" s="14">
        <f>0.2+0.2+0.88+0.075</f>
        <v>1.355</v>
      </c>
      <c r="I228" s="12">
        <f t="shared" si="26"/>
        <v>29.267999999999997</v>
      </c>
      <c r="J228" s="5"/>
    </row>
    <row r="229" spans="1:11">
      <c r="A229" s="4"/>
      <c r="B229" s="10"/>
      <c r="C229" s="10" t="s">
        <v>18</v>
      </c>
      <c r="D229" s="14">
        <f t="shared" ref="D229:D232" si="28">+D228</f>
        <v>6</v>
      </c>
      <c r="E229" s="14">
        <v>12</v>
      </c>
      <c r="F229" s="14">
        <v>0.45</v>
      </c>
      <c r="G229" s="14"/>
      <c r="H229" s="14">
        <f>0.23+0.36+0.05</f>
        <v>0.64</v>
      </c>
      <c r="I229" s="12">
        <f t="shared" si="26"/>
        <v>20.736000000000001</v>
      </c>
      <c r="J229" s="5"/>
      <c r="K229" t="s">
        <v>33</v>
      </c>
    </row>
    <row r="230" spans="1:11">
      <c r="A230" s="4"/>
      <c r="B230" s="10" t="s">
        <v>34</v>
      </c>
      <c r="C230" s="10" t="s">
        <v>18</v>
      </c>
      <c r="D230" s="14">
        <f t="shared" si="28"/>
        <v>6</v>
      </c>
      <c r="E230" s="14">
        <v>16</v>
      </c>
      <c r="F230" s="14">
        <v>0.8</v>
      </c>
      <c r="G230" s="14">
        <v>0.45</v>
      </c>
      <c r="H230" s="14"/>
      <c r="I230" s="12">
        <f t="shared" si="26"/>
        <v>34.560000000000009</v>
      </c>
      <c r="J230" s="5"/>
    </row>
    <row r="231" spans="1:11">
      <c r="A231" s="4"/>
      <c r="B231" s="10"/>
      <c r="C231" s="10" t="s">
        <v>18</v>
      </c>
      <c r="D231" s="14">
        <f t="shared" si="28"/>
        <v>6</v>
      </c>
      <c r="E231" s="14">
        <v>24</v>
      </c>
      <c r="F231" s="14">
        <v>0.8</v>
      </c>
      <c r="G231" s="14">
        <v>0.3</v>
      </c>
      <c r="H231" s="14"/>
      <c r="I231" s="12">
        <f t="shared" si="26"/>
        <v>34.56</v>
      </c>
      <c r="J231" s="5"/>
    </row>
    <row r="232" spans="1:11">
      <c r="A232" s="4"/>
      <c r="B232" s="10" t="s">
        <v>35</v>
      </c>
      <c r="C232" s="10" t="s">
        <v>18</v>
      </c>
      <c r="D232" s="14">
        <f t="shared" si="28"/>
        <v>6</v>
      </c>
      <c r="E232" s="14">
        <v>16</v>
      </c>
      <c r="F232" s="14">
        <v>0.5</v>
      </c>
      <c r="G232" s="14">
        <v>0.3</v>
      </c>
      <c r="H232" s="14"/>
      <c r="I232" s="12">
        <f t="shared" si="26"/>
        <v>14.399999999999999</v>
      </c>
      <c r="J232" s="5"/>
    </row>
    <row r="233" spans="1:11">
      <c r="A233" s="4"/>
      <c r="B233" s="13" t="s">
        <v>71</v>
      </c>
      <c r="C233" s="10"/>
      <c r="D233" s="11"/>
      <c r="E233" s="11"/>
      <c r="F233" s="11"/>
      <c r="G233" s="11"/>
      <c r="H233" s="11"/>
      <c r="I233" s="12">
        <f t="shared" si="26"/>
        <v>0</v>
      </c>
      <c r="J233" s="5"/>
    </row>
    <row r="234" spans="1:11">
      <c r="A234" s="4"/>
      <c r="B234" s="10" t="s">
        <v>30</v>
      </c>
      <c r="C234" s="10" t="s">
        <v>18</v>
      </c>
      <c r="D234" s="11">
        <f>+D232</f>
        <v>6</v>
      </c>
      <c r="E234" s="11">
        <v>8</v>
      </c>
      <c r="F234" s="11">
        <v>3.15</v>
      </c>
      <c r="G234" s="11"/>
      <c r="H234" s="11">
        <v>2.7</v>
      </c>
      <c r="I234" s="12">
        <f t="shared" si="26"/>
        <v>408.24</v>
      </c>
      <c r="J234" s="5"/>
    </row>
    <row r="235" spans="1:11">
      <c r="A235" s="4"/>
      <c r="B235" s="10" t="s">
        <v>31</v>
      </c>
      <c r="C235" s="10" t="s">
        <v>18</v>
      </c>
      <c r="D235" s="11">
        <f>+D234</f>
        <v>6</v>
      </c>
      <c r="E235" s="11">
        <v>8</v>
      </c>
      <c r="F235" s="11"/>
      <c r="G235" s="11">
        <v>2.1</v>
      </c>
      <c r="H235" s="11">
        <v>2.7</v>
      </c>
      <c r="I235" s="12">
        <f t="shared" si="26"/>
        <v>272.16000000000003</v>
      </c>
      <c r="J235" s="5"/>
    </row>
    <row r="236" spans="1:11">
      <c r="A236" s="4"/>
      <c r="B236" s="10" t="s">
        <v>45</v>
      </c>
      <c r="C236" s="10" t="s">
        <v>18</v>
      </c>
      <c r="D236" s="11">
        <f>-D235</f>
        <v>-6</v>
      </c>
      <c r="E236" s="11">
        <v>4</v>
      </c>
      <c r="F236" s="11">
        <v>0.9</v>
      </c>
      <c r="G236" s="11"/>
      <c r="H236" s="11">
        <v>1.9</v>
      </c>
      <c r="I236" s="12">
        <f t="shared" si="26"/>
        <v>-41.04</v>
      </c>
      <c r="J236" s="5"/>
    </row>
    <row r="237" spans="1:11">
      <c r="A237" s="4"/>
      <c r="B237" s="10" t="s">
        <v>46</v>
      </c>
      <c r="C237" s="10" t="s">
        <v>18</v>
      </c>
      <c r="D237" s="11">
        <f>+D236</f>
        <v>-6</v>
      </c>
      <c r="E237" s="11">
        <v>4</v>
      </c>
      <c r="F237" s="11">
        <v>0.9</v>
      </c>
      <c r="G237" s="11"/>
      <c r="H237" s="11">
        <v>1.2</v>
      </c>
      <c r="I237" s="12">
        <f t="shared" si="26"/>
        <v>-25.92</v>
      </c>
      <c r="J237" s="5"/>
    </row>
    <row r="238" spans="1:11">
      <c r="A238" s="4"/>
      <c r="B238" s="10" t="s">
        <v>32</v>
      </c>
      <c r="C238" s="19" t="s">
        <v>18</v>
      </c>
      <c r="D238" s="14">
        <f>+D235</f>
        <v>6</v>
      </c>
      <c r="E238" s="14">
        <v>12</v>
      </c>
      <c r="F238" s="14">
        <v>0.3</v>
      </c>
      <c r="G238" s="14"/>
      <c r="H238" s="14">
        <f>0.325*3+0.55</f>
        <v>1.5250000000000001</v>
      </c>
      <c r="I238" s="12">
        <f t="shared" si="26"/>
        <v>32.94</v>
      </c>
      <c r="J238" s="5"/>
    </row>
    <row r="239" spans="1:11">
      <c r="A239" s="4"/>
      <c r="B239" s="10" t="s">
        <v>34</v>
      </c>
      <c r="C239" s="19" t="s">
        <v>18</v>
      </c>
      <c r="D239" s="14">
        <f>+D238</f>
        <v>6</v>
      </c>
      <c r="E239" s="14">
        <v>32</v>
      </c>
      <c r="F239" s="14">
        <v>1.05</v>
      </c>
      <c r="G239" s="14">
        <v>0.3</v>
      </c>
      <c r="H239" s="14"/>
      <c r="I239" s="12">
        <f t="shared" si="26"/>
        <v>60.480000000000004</v>
      </c>
      <c r="J239" s="5"/>
    </row>
    <row r="240" spans="1:11">
      <c r="A240" s="4"/>
      <c r="B240" s="13" t="s">
        <v>72</v>
      </c>
      <c r="C240" s="10"/>
      <c r="D240" s="11"/>
      <c r="E240" s="11"/>
      <c r="F240" s="11"/>
      <c r="G240" s="11"/>
      <c r="H240" s="11"/>
      <c r="I240" s="12">
        <f t="shared" si="26"/>
        <v>0</v>
      </c>
      <c r="J240" s="5"/>
    </row>
    <row r="241" spans="1:10">
      <c r="A241" s="4"/>
      <c r="B241" s="10" t="s">
        <v>30</v>
      </c>
      <c r="C241" s="10" t="s">
        <v>18</v>
      </c>
      <c r="D241" s="11">
        <f>+D239</f>
        <v>6</v>
      </c>
      <c r="E241" s="11">
        <v>8</v>
      </c>
      <c r="F241" s="11">
        <v>3.4</v>
      </c>
      <c r="G241" s="11"/>
      <c r="H241" s="11">
        <v>2.7</v>
      </c>
      <c r="I241" s="12">
        <f t="shared" si="26"/>
        <v>440.64</v>
      </c>
      <c r="J241" s="5"/>
    </row>
    <row r="242" spans="1:10">
      <c r="A242" s="4"/>
      <c r="B242" s="10" t="s">
        <v>31</v>
      </c>
      <c r="C242" s="10" t="s">
        <v>18</v>
      </c>
      <c r="D242" s="11">
        <f>+D241</f>
        <v>6</v>
      </c>
      <c r="E242" s="11">
        <v>8</v>
      </c>
      <c r="F242" s="11"/>
      <c r="G242" s="11">
        <v>2.1</v>
      </c>
      <c r="H242" s="11">
        <v>2.7</v>
      </c>
      <c r="I242" s="12">
        <f t="shared" si="26"/>
        <v>272.16000000000003</v>
      </c>
      <c r="J242" s="5"/>
    </row>
    <row r="243" spans="1:10">
      <c r="A243" s="4"/>
      <c r="B243" s="10" t="s">
        <v>45</v>
      </c>
      <c r="C243" s="10" t="s">
        <v>18</v>
      </c>
      <c r="D243" s="11">
        <f>-D242</f>
        <v>-6</v>
      </c>
      <c r="E243" s="11">
        <v>4</v>
      </c>
      <c r="F243" s="11">
        <v>0.9</v>
      </c>
      <c r="G243" s="11"/>
      <c r="H243" s="11">
        <v>1.9</v>
      </c>
      <c r="I243" s="12">
        <f t="shared" si="26"/>
        <v>-41.04</v>
      </c>
      <c r="J243" s="5"/>
    </row>
    <row r="244" spans="1:10">
      <c r="A244" s="4"/>
      <c r="B244" s="10" t="s">
        <v>46</v>
      </c>
      <c r="C244" s="10" t="s">
        <v>18</v>
      </c>
      <c r="D244" s="11">
        <f>+D243</f>
        <v>-6</v>
      </c>
      <c r="E244" s="11">
        <v>4</v>
      </c>
      <c r="F244" s="11">
        <v>0.9</v>
      </c>
      <c r="G244" s="11"/>
      <c r="H244" s="11">
        <v>1.2</v>
      </c>
      <c r="I244" s="12">
        <f t="shared" si="26"/>
        <v>-25.92</v>
      </c>
      <c r="J244" s="5"/>
    </row>
    <row r="245" spans="1:10">
      <c r="A245" s="4"/>
      <c r="B245" s="10" t="s">
        <v>32</v>
      </c>
      <c r="C245" s="10" t="s">
        <v>18</v>
      </c>
      <c r="D245" s="11">
        <f>+D242</f>
        <v>6</v>
      </c>
      <c r="E245" s="11">
        <v>8</v>
      </c>
      <c r="F245" s="11"/>
      <c r="G245" s="11">
        <v>0.3</v>
      </c>
      <c r="H245" s="11">
        <v>2.0499999999999998</v>
      </c>
      <c r="I245" s="12">
        <f t="shared" si="26"/>
        <v>29.519999999999996</v>
      </c>
      <c r="J245" s="5"/>
    </row>
    <row r="246" spans="1:10">
      <c r="A246" s="4"/>
      <c r="B246" s="10" t="s">
        <v>34</v>
      </c>
      <c r="C246" s="10" t="s">
        <v>18</v>
      </c>
      <c r="D246" s="11">
        <f>+D245</f>
        <v>6</v>
      </c>
      <c r="E246" s="11">
        <v>32</v>
      </c>
      <c r="F246" s="11">
        <v>0.9</v>
      </c>
      <c r="G246" s="11">
        <v>0.3</v>
      </c>
      <c r="H246" s="11"/>
      <c r="I246" s="12">
        <f t="shared" si="26"/>
        <v>51.84</v>
      </c>
      <c r="J246" s="5"/>
    </row>
    <row r="247" spans="1:10">
      <c r="A247" s="4"/>
      <c r="B247" s="10" t="s">
        <v>44</v>
      </c>
      <c r="C247" s="10" t="s">
        <v>18</v>
      </c>
      <c r="D247" s="11">
        <f>+D246</f>
        <v>6</v>
      </c>
      <c r="E247" s="11">
        <v>8</v>
      </c>
      <c r="F247" s="11">
        <v>2.1</v>
      </c>
      <c r="G247" s="11">
        <v>0.45</v>
      </c>
      <c r="H247" s="11"/>
      <c r="I247" s="12">
        <f t="shared" si="26"/>
        <v>45.360000000000007</v>
      </c>
      <c r="J247" s="5"/>
    </row>
    <row r="248" spans="1:10">
      <c r="A248" s="4"/>
      <c r="B248" s="13" t="s">
        <v>19</v>
      </c>
      <c r="C248" s="10"/>
      <c r="D248" s="11"/>
      <c r="E248" s="11"/>
      <c r="F248" s="11"/>
      <c r="G248" s="11"/>
      <c r="H248" s="11"/>
      <c r="I248" s="12">
        <f t="shared" si="26"/>
        <v>0</v>
      </c>
      <c r="J248" s="5"/>
    </row>
    <row r="249" spans="1:10">
      <c r="A249" s="4"/>
      <c r="B249" s="10" t="s">
        <v>30</v>
      </c>
      <c r="C249" s="10" t="s">
        <v>18</v>
      </c>
      <c r="D249" s="11">
        <f>+D247</f>
        <v>6</v>
      </c>
      <c r="E249" s="11">
        <v>8</v>
      </c>
      <c r="F249" s="11">
        <v>2.1</v>
      </c>
      <c r="G249" s="11"/>
      <c r="H249" s="11">
        <v>2.7</v>
      </c>
      <c r="I249" s="12">
        <f t="shared" si="26"/>
        <v>272.16000000000003</v>
      </c>
      <c r="J249" s="5"/>
    </row>
    <row r="250" spans="1:10">
      <c r="A250" s="4"/>
      <c r="B250" s="10" t="s">
        <v>31</v>
      </c>
      <c r="C250" s="10" t="s">
        <v>18</v>
      </c>
      <c r="D250" s="11">
        <f>+D249</f>
        <v>6</v>
      </c>
      <c r="E250" s="11">
        <v>8</v>
      </c>
      <c r="F250" s="11"/>
      <c r="G250" s="11">
        <v>1.65</v>
      </c>
      <c r="H250" s="11">
        <v>2.7</v>
      </c>
      <c r="I250" s="12">
        <f t="shared" si="26"/>
        <v>213.83999999999997</v>
      </c>
      <c r="J250" s="5"/>
    </row>
    <row r="251" spans="1:10">
      <c r="A251" s="4"/>
      <c r="B251" s="10" t="s">
        <v>47</v>
      </c>
      <c r="C251" s="10" t="s">
        <v>18</v>
      </c>
      <c r="D251" s="11">
        <f>-D250</f>
        <v>-6</v>
      </c>
      <c r="E251" s="11">
        <v>4</v>
      </c>
      <c r="F251" s="11">
        <f>2.1+0.75+0.75</f>
        <v>3.6</v>
      </c>
      <c r="G251" s="11"/>
      <c r="H251" s="11">
        <v>1.2</v>
      </c>
      <c r="I251" s="12">
        <f t="shared" si="26"/>
        <v>-103.68</v>
      </c>
      <c r="J251" s="5"/>
    </row>
    <row r="252" spans="1:10">
      <c r="A252" s="4"/>
      <c r="B252" s="10" t="s">
        <v>73</v>
      </c>
      <c r="C252" s="10"/>
      <c r="D252" s="11"/>
      <c r="E252" s="11"/>
      <c r="F252" s="11"/>
      <c r="G252" s="11"/>
      <c r="H252" s="11"/>
      <c r="I252" s="12">
        <f t="shared" si="26"/>
        <v>0</v>
      </c>
      <c r="J252" s="5"/>
    </row>
    <row r="253" spans="1:10">
      <c r="A253" s="4"/>
      <c r="B253" s="10"/>
      <c r="C253" s="10" t="s">
        <v>18</v>
      </c>
      <c r="D253" s="11">
        <f>+D250</f>
        <v>6</v>
      </c>
      <c r="E253" s="11">
        <v>8</v>
      </c>
      <c r="F253" s="11"/>
      <c r="G253" s="11">
        <v>0.3</v>
      </c>
      <c r="H253" s="11">
        <v>1.35</v>
      </c>
      <c r="I253" s="12">
        <f t="shared" si="26"/>
        <v>19.439999999999998</v>
      </c>
      <c r="J253" s="5"/>
    </row>
    <row r="254" spans="1:10">
      <c r="A254" s="4"/>
      <c r="B254" s="10"/>
      <c r="C254" s="10" t="s">
        <v>18</v>
      </c>
      <c r="D254" s="11">
        <f t="shared" ref="D254:D259" si="29">+D253</f>
        <v>6</v>
      </c>
      <c r="E254" s="11">
        <v>40</v>
      </c>
      <c r="F254" s="11">
        <v>0.45</v>
      </c>
      <c r="G254" s="11">
        <v>0.3</v>
      </c>
      <c r="H254" s="11"/>
      <c r="I254" s="12">
        <f t="shared" si="26"/>
        <v>32.4</v>
      </c>
      <c r="J254" s="5"/>
    </row>
    <row r="255" spans="1:10">
      <c r="A255" s="4"/>
      <c r="B255" s="10" t="s">
        <v>44</v>
      </c>
      <c r="C255" s="10" t="s">
        <v>18</v>
      </c>
      <c r="D255" s="11">
        <f t="shared" si="29"/>
        <v>6</v>
      </c>
      <c r="E255" s="11">
        <v>8</v>
      </c>
      <c r="F255" s="11">
        <v>1.5</v>
      </c>
      <c r="G255" s="11">
        <v>0.45</v>
      </c>
      <c r="H255" s="11"/>
      <c r="I255" s="12">
        <f t="shared" si="26"/>
        <v>32.4</v>
      </c>
      <c r="J255" s="5"/>
    </row>
    <row r="256" spans="1:10">
      <c r="A256" s="4"/>
      <c r="B256" s="10" t="s">
        <v>49</v>
      </c>
      <c r="C256" s="10" t="s">
        <v>18</v>
      </c>
      <c r="D256" s="11">
        <f t="shared" si="29"/>
        <v>6</v>
      </c>
      <c r="E256" s="11">
        <v>16</v>
      </c>
      <c r="F256" s="11"/>
      <c r="G256" s="11">
        <v>0.6</v>
      </c>
      <c r="H256" s="11">
        <v>0.7</v>
      </c>
      <c r="I256" s="12">
        <f t="shared" si="26"/>
        <v>40.319999999999993</v>
      </c>
      <c r="J256" s="5"/>
    </row>
    <row r="257" spans="1:15">
      <c r="A257" s="4"/>
      <c r="B257" s="10"/>
      <c r="C257" s="10" t="s">
        <v>18</v>
      </c>
      <c r="D257" s="11">
        <f t="shared" si="29"/>
        <v>6</v>
      </c>
      <c r="E257" s="11">
        <v>4</v>
      </c>
      <c r="F257" s="11">
        <v>0.95</v>
      </c>
      <c r="G257" s="11">
        <v>0.6</v>
      </c>
      <c r="H257" s="11"/>
      <c r="I257" s="12">
        <f t="shared" si="26"/>
        <v>13.679999999999998</v>
      </c>
      <c r="J257" s="5"/>
    </row>
    <row r="258" spans="1:15">
      <c r="A258" s="4"/>
      <c r="B258" s="10"/>
      <c r="C258" s="10" t="s">
        <v>18</v>
      </c>
      <c r="D258" s="11">
        <f t="shared" si="29"/>
        <v>6</v>
      </c>
      <c r="E258" s="11">
        <v>16</v>
      </c>
      <c r="F258" s="11">
        <v>0.6</v>
      </c>
      <c r="G258" s="11">
        <v>0.6</v>
      </c>
      <c r="H258" s="11"/>
      <c r="I258" s="12">
        <f t="shared" si="26"/>
        <v>34.559999999999995</v>
      </c>
      <c r="J258" s="5"/>
    </row>
    <row r="259" spans="1:15">
      <c r="A259" s="4"/>
      <c r="B259" s="10"/>
      <c r="C259" s="10" t="s">
        <v>18</v>
      </c>
      <c r="D259" s="11">
        <f t="shared" si="29"/>
        <v>6</v>
      </c>
      <c r="E259" s="11">
        <v>4</v>
      </c>
      <c r="F259" s="11">
        <v>0.5</v>
      </c>
      <c r="G259" s="11">
        <v>0.6</v>
      </c>
      <c r="H259" s="11"/>
      <c r="I259" s="12">
        <f t="shared" si="26"/>
        <v>7.1999999999999993</v>
      </c>
      <c r="J259" s="5"/>
    </row>
    <row r="260" spans="1:15">
      <c r="A260" s="4"/>
      <c r="B260" s="13" t="s">
        <v>50</v>
      </c>
      <c r="C260" s="10"/>
      <c r="D260" s="11"/>
      <c r="E260" s="11"/>
      <c r="F260" s="11"/>
      <c r="G260" s="11"/>
      <c r="H260" s="11"/>
      <c r="I260" s="12">
        <f t="shared" si="26"/>
        <v>0</v>
      </c>
      <c r="J260" s="5"/>
    </row>
    <row r="261" spans="1:15">
      <c r="A261" s="4"/>
      <c r="B261" s="10" t="s">
        <v>30</v>
      </c>
      <c r="C261" s="10" t="s">
        <v>18</v>
      </c>
      <c r="D261" s="11">
        <f>+D259</f>
        <v>6</v>
      </c>
      <c r="E261" s="11">
        <v>8</v>
      </c>
      <c r="F261" s="11">
        <v>1.75</v>
      </c>
      <c r="G261" s="11"/>
      <c r="H261" s="11">
        <v>0.6</v>
      </c>
      <c r="I261" s="12">
        <f t="shared" si="26"/>
        <v>50.4</v>
      </c>
      <c r="J261" s="5"/>
    </row>
    <row r="262" spans="1:15">
      <c r="A262" s="4"/>
      <c r="B262" s="10" t="s">
        <v>31</v>
      </c>
      <c r="C262" s="10" t="s">
        <v>18</v>
      </c>
      <c r="D262" s="11">
        <f>+D261</f>
        <v>6</v>
      </c>
      <c r="E262" s="11">
        <v>8</v>
      </c>
      <c r="F262" s="11"/>
      <c r="G262" s="11">
        <v>1</v>
      </c>
      <c r="H262" s="11">
        <v>0.6</v>
      </c>
      <c r="I262" s="12">
        <f t="shared" si="26"/>
        <v>28.799999999999997</v>
      </c>
      <c r="J262" s="5"/>
    </row>
    <row r="263" spans="1:15">
      <c r="A263" s="4"/>
      <c r="B263" s="13" t="s">
        <v>53</v>
      </c>
      <c r="C263" s="10"/>
      <c r="D263" s="11"/>
      <c r="E263" s="11"/>
      <c r="F263" s="11"/>
      <c r="G263" s="11"/>
      <c r="H263" s="11"/>
      <c r="I263" s="12">
        <f t="shared" si="26"/>
        <v>0</v>
      </c>
      <c r="J263" s="5"/>
    </row>
    <row r="264" spans="1:15">
      <c r="A264" s="4"/>
      <c r="B264" s="10" t="s">
        <v>30</v>
      </c>
      <c r="C264" s="10" t="s">
        <v>18</v>
      </c>
      <c r="D264" s="11">
        <f>+D262</f>
        <v>6</v>
      </c>
      <c r="E264" s="11">
        <v>8</v>
      </c>
      <c r="F264" s="11">
        <v>1.4</v>
      </c>
      <c r="G264" s="11"/>
      <c r="H264" s="11">
        <v>2.7</v>
      </c>
      <c r="I264" s="12">
        <f t="shared" si="26"/>
        <v>181.43999999999997</v>
      </c>
      <c r="J264" s="5"/>
    </row>
    <row r="265" spans="1:15">
      <c r="A265" s="4"/>
      <c r="B265" s="10" t="s">
        <v>31</v>
      </c>
      <c r="C265" s="10" t="s">
        <v>18</v>
      </c>
      <c r="D265" s="11">
        <f>+D264</f>
        <v>6</v>
      </c>
      <c r="E265" s="11">
        <v>8</v>
      </c>
      <c r="F265" s="11"/>
      <c r="G265" s="11">
        <v>1.2</v>
      </c>
      <c r="H265" s="11">
        <v>2.7</v>
      </c>
      <c r="I265" s="12">
        <f t="shared" si="26"/>
        <v>155.51999999999998</v>
      </c>
      <c r="J265" s="5"/>
    </row>
    <row r="266" spans="1:15">
      <c r="A266" s="4"/>
      <c r="B266" s="10" t="s">
        <v>74</v>
      </c>
      <c r="C266" s="10" t="s">
        <v>18</v>
      </c>
      <c r="D266" s="11">
        <f>-D265</f>
        <v>-6</v>
      </c>
      <c r="E266" s="11">
        <v>4</v>
      </c>
      <c r="F266" s="11">
        <v>0.75</v>
      </c>
      <c r="G266" s="11"/>
      <c r="H266" s="11">
        <v>1.95</v>
      </c>
      <c r="I266" s="12">
        <f t="shared" si="26"/>
        <v>-35.1</v>
      </c>
      <c r="J266" s="5"/>
    </row>
    <row r="267" spans="1:15">
      <c r="A267" s="4"/>
      <c r="B267" s="10" t="s">
        <v>54</v>
      </c>
      <c r="C267" s="10" t="s">
        <v>18</v>
      </c>
      <c r="D267" s="11">
        <f>+D266</f>
        <v>-6</v>
      </c>
      <c r="E267" s="11">
        <v>4</v>
      </c>
      <c r="F267" s="11">
        <v>1.1000000000000001</v>
      </c>
      <c r="G267" s="11"/>
      <c r="H267" s="11">
        <f>2.7-0.915-0.435</f>
        <v>1.35</v>
      </c>
      <c r="I267" s="12">
        <f t="shared" si="26"/>
        <v>-35.640000000000008</v>
      </c>
      <c r="J267" s="5"/>
    </row>
    <row r="268" spans="1:15">
      <c r="A268" s="4"/>
      <c r="B268" s="13" t="s">
        <v>14</v>
      </c>
      <c r="C268" s="13"/>
      <c r="D268" s="38"/>
      <c r="E268" s="38"/>
      <c r="F268" s="38"/>
      <c r="G268" s="38"/>
      <c r="H268" s="38"/>
      <c r="I268" s="39">
        <f>SUM(I141:I267)</f>
        <v>8816.6080000000002</v>
      </c>
      <c r="J268" s="5"/>
      <c r="L268" s="15"/>
      <c r="O268" s="37"/>
    </row>
    <row r="269" spans="1:15">
      <c r="A269" s="4"/>
      <c r="B269" s="13" t="s">
        <v>80</v>
      </c>
      <c r="C269" s="13"/>
      <c r="D269" s="38"/>
      <c r="E269" s="38"/>
      <c r="F269" s="38"/>
      <c r="G269" s="38"/>
      <c r="H269" s="38"/>
      <c r="I269" s="39">
        <f>+I268*10%</f>
        <v>881.66080000000011</v>
      </c>
      <c r="J269" s="5"/>
      <c r="L269" s="15"/>
      <c r="O269" s="37"/>
    </row>
    <row r="270" spans="1:15">
      <c r="A270" s="4"/>
      <c r="B270" s="13" t="s">
        <v>81</v>
      </c>
      <c r="C270" s="13"/>
      <c r="D270" s="38"/>
      <c r="E270" s="38"/>
      <c r="F270" s="38"/>
      <c r="G270" s="38"/>
      <c r="H270" s="38"/>
      <c r="I270" s="39">
        <f>+I268-I269</f>
        <v>7934.9472000000005</v>
      </c>
      <c r="J270" s="5"/>
      <c r="L270" s="15"/>
      <c r="O270" s="37"/>
    </row>
    <row r="271" spans="1:15">
      <c r="L271">
        <f>+L270*10.76</f>
        <v>0</v>
      </c>
    </row>
    <row r="278" spans="1:12" s="24" customFormat="1" ht="15.6">
      <c r="A278" s="34" t="s">
        <v>76</v>
      </c>
      <c r="B278" s="34"/>
      <c r="C278" s="35" t="s">
        <v>77</v>
      </c>
      <c r="D278" s="35"/>
      <c r="E278" s="35"/>
      <c r="F278" s="35"/>
      <c r="G278" s="36" t="s">
        <v>78</v>
      </c>
      <c r="H278" s="36"/>
      <c r="I278" s="36"/>
      <c r="J278" s="36"/>
      <c r="K278" s="23"/>
      <c r="L278" s="23"/>
    </row>
  </sheetData>
  <mergeCells count="9">
    <mergeCell ref="A278:B278"/>
    <mergeCell ref="C278:F278"/>
    <mergeCell ref="G278:J278"/>
    <mergeCell ref="A1:J1"/>
    <mergeCell ref="A2:J2"/>
    <mergeCell ref="A3:B3"/>
    <mergeCell ref="G3:J3"/>
    <mergeCell ref="A4:B4"/>
    <mergeCell ref="I4:J4"/>
  </mergeCells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MB-1</vt:lpstr>
      <vt:lpstr>'MB-1'!Print_Area</vt:lpstr>
      <vt:lpstr>'MB-1'!Print_Titles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2026-10-04T04:03:57Z</dcterms:modified>
</cp:coreProperties>
</file>